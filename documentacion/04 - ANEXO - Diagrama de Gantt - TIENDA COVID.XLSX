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codeName="ThisWorkbook"/>
  <xr:revisionPtr revIDLastSave="0" documentId="13_ncr:1_{B3927741-6368-43AA-A7FE-653D7F74A2CF}" xr6:coauthVersionLast="45" xr6:coauthVersionMax="45" xr10:uidLastSave="{00000000-0000-0000-0000-000000000000}"/>
  <bookViews>
    <workbookView xWindow="-110" yWindow="-110" windowWidth="19420" windowHeight="10420" xr2:uid="{00000000-000D-0000-FFFF-FFFF00000000}"/>
  </bookViews>
  <sheets>
    <sheet name="CalendarioProyecto" sheetId="11" r:id="rId1"/>
  </sheets>
  <definedNames>
    <definedName name="Display_Week">CalendarioProyecto!$E$4</definedName>
    <definedName name="hoy" localSheetId="0">TODAY()</definedName>
    <definedName name="Project_Start">CalendarioProyecto!$C$3</definedName>
    <definedName name="task_end" localSheetId="0">CalendarioProyecto!$F1</definedName>
    <definedName name="task_progress" localSheetId="0">CalendarioProyecto!$D1</definedName>
    <definedName name="task_start" localSheetId="0">CalendarioProyecto!$E1</definedName>
    <definedName name="_xlnm.Print_Titles" localSheetId="0">CalendarioProyecto!$4:$6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 i="11" l="1"/>
  <c r="H16" i="11"/>
  <c r="H7" i="11" l="1"/>
  <c r="F9" i="11" l="1"/>
  <c r="E10" i="11" s="1"/>
  <c r="I5" i="11"/>
  <c r="H11" i="11"/>
  <c r="H8" i="11"/>
  <c r="F10" i="11" l="1"/>
  <c r="E12" i="11" s="1"/>
  <c r="H9" i="11"/>
  <c r="I6" i="11"/>
  <c r="F12" i="11" l="1"/>
  <c r="E13" i="11" s="1"/>
  <c r="H12" i="11"/>
  <c r="J5" i="11"/>
  <c r="K5" i="11" s="1"/>
  <c r="L5" i="11" s="1"/>
  <c r="M5" i="11" s="1"/>
  <c r="N5" i="11" s="1"/>
  <c r="O5" i="11" s="1"/>
  <c r="I4" i="11"/>
  <c r="F13" i="11" l="1"/>
  <c r="E14" i="11" s="1"/>
  <c r="H13" i="11"/>
  <c r="P5" i="11"/>
  <c r="P4" i="11" s="1"/>
  <c r="J6" i="11"/>
  <c r="F14" i="11" l="1"/>
  <c r="E15" i="11" s="1"/>
  <c r="H14" i="11"/>
  <c r="Q5" i="11"/>
  <c r="R5" i="11" s="1"/>
  <c r="S5" i="11" s="1"/>
  <c r="T5" i="11" s="1"/>
  <c r="U5" i="11" s="1"/>
  <c r="V5" i="11" s="1"/>
  <c r="W5" i="11" s="1"/>
  <c r="X5" i="11" s="1"/>
  <c r="Y5" i="11" s="1"/>
  <c r="Z5" i="11" s="1"/>
  <c r="AA5" i="11" s="1"/>
  <c r="AB5" i="11" s="1"/>
  <c r="AC5" i="11" s="1"/>
  <c r="AD5" i="11" s="1"/>
  <c r="AE5" i="11" s="1"/>
  <c r="AF5" i="11" s="1"/>
  <c r="AG5" i="11" s="1"/>
  <c r="AH5" i="11" s="1"/>
  <c r="AI5" i="11" s="1"/>
  <c r="AJ5" i="11" s="1"/>
  <c r="AK5" i="11" s="1"/>
  <c r="AL5" i="11" s="1"/>
  <c r="AM5" i="11" s="1"/>
  <c r="AN5" i="11" s="1"/>
  <c r="AO5" i="11" s="1"/>
  <c r="AP5" i="11" s="1"/>
  <c r="AQ5" i="11" s="1"/>
  <c r="AR5" i="11" s="1"/>
  <c r="AS5" i="11" s="1"/>
  <c r="AT5" i="11" s="1"/>
  <c r="AU5" i="11" s="1"/>
  <c r="AV5" i="11" s="1"/>
  <c r="AW5" i="11" s="1"/>
  <c r="AX5" i="11" s="1"/>
  <c r="AY5" i="11" s="1"/>
  <c r="AZ5" i="11" s="1"/>
  <c r="BA5" i="11" s="1"/>
  <c r="BB5" i="11" s="1"/>
  <c r="BC5" i="11" s="1"/>
  <c r="BD5" i="11" s="1"/>
  <c r="BE5" i="11" s="1"/>
  <c r="BF5" i="11" s="1"/>
  <c r="BG5" i="11" s="1"/>
  <c r="BH5" i="11" s="1"/>
  <c r="BI5" i="11" s="1"/>
  <c r="BJ5" i="11" s="1"/>
  <c r="BK5" i="11" s="1"/>
  <c r="BL5" i="11" s="1"/>
  <c r="BM5" i="11" s="1"/>
  <c r="BN5" i="11" s="1"/>
  <c r="BO5" i="11" s="1"/>
  <c r="BP5" i="11" s="1"/>
  <c r="BQ5" i="11" s="1"/>
  <c r="BR5" i="11" s="1"/>
  <c r="BS5" i="11" s="1"/>
  <c r="BT5" i="11" s="1"/>
  <c r="BU5" i="11" s="1"/>
  <c r="BV5" i="11" s="1"/>
  <c r="BW5" i="11" s="1"/>
  <c r="BX5" i="11" s="1"/>
  <c r="BY5" i="11" s="1"/>
  <c r="BZ5" i="11" s="1"/>
  <c r="CA5" i="11" s="1"/>
  <c r="CB5" i="11" s="1"/>
  <c r="CC5" i="11" s="1"/>
  <c r="CD5" i="11" s="1"/>
  <c r="CE5" i="11" s="1"/>
  <c r="CF5" i="11" s="1"/>
  <c r="CG5" i="11" s="1"/>
  <c r="CH5" i="11" s="1"/>
  <c r="CI5" i="11" s="1"/>
  <c r="CJ5" i="11" s="1"/>
  <c r="CK5" i="11" s="1"/>
  <c r="CL5" i="11" s="1"/>
  <c r="CM5" i="11" s="1"/>
  <c r="CN5" i="11" s="1"/>
  <c r="CO5" i="11" s="1"/>
  <c r="CP5" i="11" s="1"/>
  <c r="CQ5" i="11" s="1"/>
  <c r="CR5" i="11" s="1"/>
  <c r="CS5" i="11" s="1"/>
  <c r="CT5" i="11" s="1"/>
  <c r="CU5" i="11" s="1"/>
  <c r="CV5" i="11" s="1"/>
  <c r="CW5" i="11" s="1"/>
  <c r="CX5" i="11" s="1"/>
  <c r="CY5" i="11" s="1"/>
  <c r="CZ5" i="11" s="1"/>
  <c r="DA5" i="11" s="1"/>
  <c r="DB5" i="11" s="1"/>
  <c r="DC5" i="11" s="1"/>
  <c r="DD5" i="11" s="1"/>
  <c r="DE5" i="11" s="1"/>
  <c r="DF5" i="11" s="1"/>
  <c r="DG5" i="11" s="1"/>
  <c r="DH5" i="11" s="1"/>
  <c r="DI5" i="11" s="1"/>
  <c r="DJ5" i="11" s="1"/>
  <c r="DK5" i="11" s="1"/>
  <c r="DL5" i="11" s="1"/>
  <c r="DM5" i="11" s="1"/>
  <c r="DN5" i="11" s="1"/>
  <c r="DO5" i="11" s="1"/>
  <c r="DP5" i="11" s="1"/>
  <c r="DQ5" i="11" s="1"/>
  <c r="DR5" i="11" s="1"/>
  <c r="DS5" i="11" s="1"/>
  <c r="DT5" i="11" s="1"/>
  <c r="DU5" i="11" s="1"/>
  <c r="DV5" i="11" s="1"/>
  <c r="DW5" i="11" s="1"/>
  <c r="DX5" i="11" s="1"/>
  <c r="DY5" i="11" s="1"/>
  <c r="DZ5" i="11" s="1"/>
  <c r="EA5" i="11" s="1"/>
  <c r="EB5" i="11" s="1"/>
  <c r="EC5" i="11" s="1"/>
  <c r="ED5" i="11" s="1"/>
  <c r="EE5" i="11" s="1"/>
  <c r="K6" i="11"/>
  <c r="F15" i="11" l="1"/>
  <c r="E17" i="11" s="1"/>
  <c r="H15" i="11"/>
  <c r="EF5" i="11"/>
  <c r="EE4" i="11"/>
  <c r="EE6" i="11"/>
  <c r="W4" i="11"/>
  <c r="L6" i="11"/>
  <c r="F17" i="11" l="1"/>
  <c r="H17" i="11"/>
  <c r="EG5" i="11"/>
  <c r="EF6" i="11"/>
  <c r="H10" i="11"/>
  <c r="M6" i="11"/>
  <c r="EH5" i="11" l="1"/>
  <c r="EG6" i="11"/>
  <c r="AD4" i="11"/>
  <c r="N6" i="11"/>
  <c r="EI5" i="11" l="1"/>
  <c r="EH6" i="11"/>
  <c r="AS6" i="11"/>
  <c r="AK4" i="11"/>
  <c r="O6" i="11"/>
  <c r="EJ5" i="11" l="1"/>
  <c r="EI6" i="11"/>
  <c r="AR4" i="11"/>
  <c r="AT6" i="11"/>
  <c r="EK5" i="11" l="1"/>
  <c r="EJ6" i="11"/>
  <c r="AU6" i="11"/>
  <c r="P6" i="11"/>
  <c r="Q6" i="11"/>
  <c r="EL5" i="11" l="1"/>
  <c r="EK6" i="11"/>
  <c r="AV6" i="11"/>
  <c r="R6" i="11"/>
  <c r="EM5" i="11" l="1"/>
  <c r="EL6" i="11"/>
  <c r="EL4" i="11"/>
  <c r="AW6" i="11"/>
  <c r="S6" i="11"/>
  <c r="EN5" i="11" l="1"/>
  <c r="EM6" i="11"/>
  <c r="AY4" i="11"/>
  <c r="AX6" i="11"/>
  <c r="T6" i="11"/>
  <c r="EO5" i="11" l="1"/>
  <c r="EN6" i="11"/>
  <c r="AY6" i="11"/>
  <c r="U6" i="11"/>
  <c r="EP5" i="11" l="1"/>
  <c r="EO6" i="11"/>
  <c r="AZ6" i="11"/>
  <c r="BA6" i="11"/>
  <c r="V6" i="11"/>
  <c r="EQ5" i="11" l="1"/>
  <c r="EP6" i="11"/>
  <c r="BF4" i="11"/>
  <c r="BF6" i="11"/>
  <c r="BG6" i="11"/>
  <c r="BB6" i="11"/>
  <c r="W6" i="11"/>
  <c r="ER5" i="11" l="1"/>
  <c r="EQ6" i="11"/>
  <c r="BH6" i="11"/>
  <c r="BC6" i="11"/>
  <c r="X6" i="11"/>
  <c r="ES5" i="11" l="1"/>
  <c r="ER6" i="11"/>
  <c r="BI6" i="11"/>
  <c r="BD6" i="11"/>
  <c r="Y6" i="11"/>
  <c r="ET5" i="11" l="1"/>
  <c r="ES6" i="11"/>
  <c r="ES4" i="11"/>
  <c r="BJ6" i="11"/>
  <c r="BE6" i="11"/>
  <c r="Z6" i="11"/>
  <c r="EU5" i="11" l="1"/>
  <c r="ET6" i="11"/>
  <c r="BK6" i="11"/>
  <c r="AA6" i="11"/>
  <c r="EV5" i="11" l="1"/>
  <c r="EU6" i="11"/>
  <c r="BL6" i="11"/>
  <c r="AB6" i="11"/>
  <c r="EW5" i="11" l="1"/>
  <c r="EV6" i="11"/>
  <c r="BM6" i="11"/>
  <c r="BM4" i="11"/>
  <c r="AC6" i="11"/>
  <c r="EX5" i="11" l="1"/>
  <c r="EW6" i="11"/>
  <c r="BN6" i="11"/>
  <c r="AD6" i="11"/>
  <c r="EY5" i="11" l="1"/>
  <c r="EX6" i="11"/>
  <c r="BO6" i="11"/>
  <c r="AE6" i="11"/>
  <c r="EZ5" i="11" l="1"/>
  <c r="EY6" i="11"/>
  <c r="BP6" i="11"/>
  <c r="AF6" i="11"/>
  <c r="FA5" i="11" l="1"/>
  <c r="EZ6" i="11"/>
  <c r="EZ4" i="11"/>
  <c r="BQ6" i="11"/>
  <c r="AG6" i="11"/>
  <c r="FB5" i="11" l="1"/>
  <c r="FA6" i="11"/>
  <c r="BR6" i="11"/>
  <c r="AH6" i="11"/>
  <c r="FC5" i="11" l="1"/>
  <c r="FB6" i="11"/>
  <c r="BS6" i="11"/>
  <c r="AI6" i="11"/>
  <c r="E3" i="11" l="1"/>
  <c r="FD5" i="11"/>
  <c r="FC6" i="11"/>
  <c r="BT6" i="11"/>
  <c r="BT4" i="11"/>
  <c r="AJ6" i="11"/>
  <c r="FE5" i="11" l="1"/>
  <c r="FD6" i="11"/>
  <c r="BU6" i="11"/>
  <c r="AK6" i="11"/>
  <c r="FF5" i="11" l="1"/>
  <c r="FE6" i="11"/>
  <c r="BV6" i="11"/>
  <c r="AL6" i="11"/>
  <c r="FG5" i="11" l="1"/>
  <c r="FF6" i="11"/>
  <c r="BW6" i="11"/>
  <c r="AM6" i="11"/>
  <c r="FH5" i="11" l="1"/>
  <c r="FG6" i="11"/>
  <c r="FG4" i="11"/>
  <c r="BX6" i="11"/>
  <c r="AN6" i="11"/>
  <c r="FI5" i="11" l="1"/>
  <c r="FH6" i="11"/>
  <c r="BY6" i="11"/>
  <c r="AO6" i="11"/>
  <c r="FJ5" i="11" l="1"/>
  <c r="FI6" i="11"/>
  <c r="BZ6" i="11"/>
  <c r="AP6" i="11"/>
  <c r="FK5" i="11" l="1"/>
  <c r="FJ6" i="11"/>
  <c r="CA6" i="11"/>
  <c r="CA4" i="11"/>
  <c r="AQ6" i="11"/>
  <c r="FL5" i="11" l="1"/>
  <c r="FK6" i="11"/>
  <c r="CB6" i="11"/>
  <c r="AR6" i="11"/>
  <c r="FM5" i="11" l="1"/>
  <c r="FL6" i="11"/>
  <c r="CC6" i="11"/>
  <c r="FN5" i="11" l="1"/>
  <c r="FM6" i="11"/>
  <c r="CD6" i="11"/>
  <c r="FO5" i="11" l="1"/>
  <c r="FN4" i="11"/>
  <c r="FN6" i="11"/>
  <c r="CE6" i="11"/>
  <c r="FP5" i="11" l="1"/>
  <c r="FO6" i="11"/>
  <c r="CF6" i="11"/>
  <c r="FQ5" i="11" l="1"/>
  <c r="FP6" i="11"/>
  <c r="CG6" i="11"/>
  <c r="FR5" i="11" l="1"/>
  <c r="FQ6" i="11"/>
  <c r="CH6" i="11"/>
  <c r="CH4" i="11"/>
  <c r="FS5" i="11" l="1"/>
  <c r="FR6" i="11"/>
  <c r="CI6" i="11"/>
  <c r="FT5" i="11" l="1"/>
  <c r="FS6" i="11"/>
  <c r="CJ6" i="11"/>
  <c r="FU5" i="11" l="1"/>
  <c r="FT6" i="11"/>
  <c r="CK6" i="11"/>
  <c r="FV5" i="11" l="1"/>
  <c r="FU6" i="11"/>
  <c r="FU4" i="11"/>
  <c r="CL6" i="11"/>
  <c r="FW5" i="11" l="1"/>
  <c r="FV6" i="11"/>
  <c r="CM6" i="11"/>
  <c r="FX5" i="11" l="1"/>
  <c r="FW6" i="11"/>
  <c r="CN6" i="11"/>
  <c r="FY5" i="11" l="1"/>
  <c r="FX6" i="11"/>
  <c r="CO6" i="11"/>
  <c r="CO4" i="11"/>
  <c r="FZ5" i="11" l="1"/>
  <c r="FY6" i="11"/>
  <c r="CP6" i="11"/>
  <c r="GA5" i="11" l="1"/>
  <c r="FZ6" i="11"/>
  <c r="CQ6" i="11"/>
  <c r="GB5" i="11" l="1"/>
  <c r="GA6" i="11"/>
  <c r="CR6" i="11"/>
  <c r="GC5" i="11" l="1"/>
  <c r="GB6" i="11"/>
  <c r="GB4" i="11"/>
  <c r="CS6" i="11"/>
  <c r="GD5" i="11" l="1"/>
  <c r="GC6" i="11"/>
  <c r="CT6" i="11"/>
  <c r="GE5" i="11" l="1"/>
  <c r="GD6" i="11"/>
  <c r="CU6" i="11"/>
  <c r="GF5" i="11" l="1"/>
  <c r="GE6" i="11"/>
  <c r="CV6" i="11"/>
  <c r="CV4" i="11"/>
  <c r="GG5" i="11" l="1"/>
  <c r="GF6" i="11"/>
  <c r="CW6" i="11"/>
  <c r="GH5" i="11" l="1"/>
  <c r="GG6" i="11"/>
  <c r="CX6" i="11"/>
  <c r="GI5" i="11" l="1"/>
  <c r="GH6" i="11"/>
  <c r="CY6" i="11"/>
  <c r="GJ5" i="11" l="1"/>
  <c r="GI6" i="11"/>
  <c r="GI4" i="11"/>
  <c r="CZ6" i="11"/>
  <c r="GK5" i="11" l="1"/>
  <c r="GJ6" i="11"/>
  <c r="DA6" i="11"/>
  <c r="GL5" i="11" l="1"/>
  <c r="GK6" i="11"/>
  <c r="DB6" i="11"/>
  <c r="GM5" i="11" l="1"/>
  <c r="GL6" i="11"/>
  <c r="DC4" i="11"/>
  <c r="DC6" i="11"/>
  <c r="GN5" i="11" l="1"/>
  <c r="GM6" i="11"/>
  <c r="DD6" i="11"/>
  <c r="GO5" i="11" l="1"/>
  <c r="GN6" i="11"/>
  <c r="DE6" i="11"/>
  <c r="GP5" i="11" l="1"/>
  <c r="GO6" i="11"/>
  <c r="DF6" i="11"/>
  <c r="GQ5" i="11" l="1"/>
  <c r="GP6" i="11"/>
  <c r="GP4" i="11"/>
  <c r="DG6" i="11"/>
  <c r="GR5" i="11" l="1"/>
  <c r="GQ6" i="11"/>
  <c r="DH6" i="11"/>
  <c r="GS5" i="11" l="1"/>
  <c r="GR6" i="11"/>
  <c r="DI6" i="11"/>
  <c r="GT5" i="11" l="1"/>
  <c r="GS6" i="11"/>
  <c r="DJ4" i="11"/>
  <c r="DJ6" i="11"/>
  <c r="GU5" i="11" l="1"/>
  <c r="GT6" i="11"/>
  <c r="DK6" i="11"/>
  <c r="GV5" i="11" l="1"/>
  <c r="GU6" i="11"/>
  <c r="DL6" i="11"/>
  <c r="GW5" i="11" l="1"/>
  <c r="GV6" i="11"/>
  <c r="DM6" i="11"/>
  <c r="GX5" i="11" l="1"/>
  <c r="GW6" i="11"/>
  <c r="GW4" i="11"/>
  <c r="DN6" i="11"/>
  <c r="GY5" i="11" l="1"/>
  <c r="GX6" i="11"/>
  <c r="DO6" i="11"/>
  <c r="GZ5" i="11" l="1"/>
  <c r="GY6" i="11"/>
  <c r="DP6" i="11"/>
  <c r="HA5" i="11" l="1"/>
  <c r="GZ6" i="11"/>
  <c r="DQ4" i="11"/>
  <c r="DQ6" i="11"/>
  <c r="HB5" i="11" l="1"/>
  <c r="HA6" i="11"/>
  <c r="DR6" i="11"/>
  <c r="HC5" i="11" l="1"/>
  <c r="HB6" i="11"/>
  <c r="DS6" i="11"/>
  <c r="HD5" i="11" l="1"/>
  <c r="HC6" i="11"/>
  <c r="DT6" i="11"/>
  <c r="HE5" i="11" l="1"/>
  <c r="HD6" i="11"/>
  <c r="HD4" i="11"/>
  <c r="DU6" i="11"/>
  <c r="HF5" i="11" l="1"/>
  <c r="HE6" i="11"/>
  <c r="DV6" i="11"/>
  <c r="HG5" i="11" l="1"/>
  <c r="HF6" i="11"/>
  <c r="DW6" i="11"/>
  <c r="HH5" i="11" l="1"/>
  <c r="HG6" i="11"/>
  <c r="DX6" i="11"/>
  <c r="DX4" i="11"/>
  <c r="HI5" i="11" l="1"/>
  <c r="HH6" i="11"/>
  <c r="DY6" i="11"/>
  <c r="HJ5" i="11" l="1"/>
  <c r="HI6" i="11"/>
  <c r="DZ6" i="11"/>
  <c r="HK5" i="11" l="1"/>
  <c r="HJ6" i="11"/>
  <c r="EA6" i="11"/>
  <c r="HL5" i="11" l="1"/>
  <c r="HK6" i="11"/>
  <c r="HK4" i="11"/>
  <c r="EB6" i="11"/>
  <c r="HM5" i="11" l="1"/>
  <c r="HL6" i="11"/>
  <c r="EC6" i="11"/>
  <c r="HN5" i="11" l="1"/>
  <c r="HM6" i="11"/>
  <c r="ED6" i="11"/>
  <c r="HO5" i="11" l="1"/>
  <c r="HN6" i="11"/>
  <c r="HP5" i="11" l="1"/>
  <c r="HO6" i="11"/>
  <c r="HQ5" i="11" l="1"/>
  <c r="HP6" i="11"/>
  <c r="HR5" i="11" l="1"/>
  <c r="HQ6" i="11"/>
  <c r="HS5" i="11" l="1"/>
  <c r="HR6" i="11"/>
  <c r="HR4" i="11"/>
  <c r="HT5" i="11" l="1"/>
  <c r="HS6" i="11"/>
  <c r="HU5" i="11" l="1"/>
  <c r="HT6" i="11"/>
  <c r="HV5" i="11" l="1"/>
  <c r="HU6" i="11"/>
  <c r="HW5" i="11" l="1"/>
  <c r="HV6" i="11"/>
  <c r="HX5" i="11" l="1"/>
  <c r="HW6" i="11"/>
  <c r="HY5" i="11" l="1"/>
  <c r="HX6" i="11"/>
  <c r="HZ5" i="11" l="1"/>
  <c r="HY6" i="11"/>
  <c r="HY4" i="11"/>
  <c r="IA5" i="11" l="1"/>
  <c r="HZ6" i="11"/>
  <c r="IB5" i="11" l="1"/>
  <c r="IA6" i="11"/>
  <c r="IC5" i="11" l="1"/>
  <c r="IB6" i="11"/>
  <c r="ID5" i="11" l="1"/>
  <c r="IC6" i="11"/>
  <c r="IE5" i="11" l="1"/>
  <c r="ID6" i="11"/>
  <c r="IF5" i="11" l="1"/>
  <c r="IE6" i="11"/>
  <c r="IG5" i="11" l="1"/>
  <c r="IF6" i="11"/>
  <c r="IF4" i="11"/>
  <c r="IH5" i="11" l="1"/>
  <c r="IG6" i="11"/>
  <c r="II5" i="11" l="1"/>
  <c r="IH6" i="11"/>
  <c r="IJ5" i="11" l="1"/>
  <c r="II6" i="11"/>
  <c r="IK5" i="11" l="1"/>
  <c r="IJ6" i="11"/>
  <c r="IL5" i="11" l="1"/>
  <c r="IK6" i="11"/>
  <c r="IM5" i="11" l="1"/>
  <c r="IL6" i="11"/>
  <c r="IN5" i="11" l="1"/>
  <c r="IM6" i="11"/>
  <c r="IM4" i="11"/>
  <c r="IO5" i="11" l="1"/>
  <c r="IN6" i="11"/>
  <c r="IP5" i="11" l="1"/>
  <c r="IO6" i="11"/>
  <c r="IQ5" i="11" l="1"/>
  <c r="IP6" i="11"/>
  <c r="IR5" i="11" l="1"/>
  <c r="IQ6" i="11"/>
  <c r="IS5" i="11" l="1"/>
  <c r="IR6" i="11"/>
  <c r="IT5" i="11" l="1"/>
  <c r="IS6" i="11"/>
  <c r="IU5" i="11" l="1"/>
  <c r="IT6" i="11"/>
  <c r="IT4" i="11"/>
  <c r="IV5" i="11" l="1"/>
  <c r="IU6" i="11"/>
  <c r="IW5" i="11" l="1"/>
  <c r="IV6" i="11"/>
  <c r="IX5" i="11" l="1"/>
  <c r="IW6" i="11"/>
  <c r="IY5" i="11" l="1"/>
  <c r="IX6" i="11"/>
  <c r="IZ5" i="11" l="1"/>
  <c r="IY6" i="11"/>
  <c r="JA5" i="11" l="1"/>
  <c r="IZ6" i="11"/>
  <c r="JB5" i="11" l="1"/>
  <c r="JA4" i="11"/>
  <c r="JA6" i="11"/>
  <c r="JC5" i="11" l="1"/>
  <c r="JB6" i="11"/>
  <c r="JD5" i="11" l="1"/>
  <c r="JC6" i="11"/>
  <c r="JE5" i="11" l="1"/>
  <c r="JD6" i="11"/>
  <c r="JF5" i="11" l="1"/>
  <c r="JE6" i="11"/>
  <c r="JG5" i="11" l="1"/>
  <c r="JF6" i="11"/>
  <c r="JH5" i="11" l="1"/>
  <c r="JG6" i="11"/>
  <c r="JI5" i="11" l="1"/>
  <c r="JH6" i="11"/>
  <c r="JH4" i="11"/>
  <c r="JJ5" i="11" l="1"/>
  <c r="JI6" i="11"/>
  <c r="JK5" i="11" l="1"/>
  <c r="JJ6" i="11"/>
  <c r="JL5" i="11" l="1"/>
  <c r="JK6" i="11"/>
  <c r="JM5" i="11" l="1"/>
  <c r="JL6" i="11"/>
  <c r="JN5" i="11" l="1"/>
  <c r="JN6" i="11" s="1"/>
  <c r="JM6" i="11"/>
</calcChain>
</file>

<file path=xl/sharedStrings.xml><?xml version="1.0" encoding="utf-8"?>
<sst xmlns="http://schemas.openxmlformats.org/spreadsheetml/2006/main" count="34" uniqueCount="32">
  <si>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</si>
  <si>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</si>
  <si>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</si>
  <si>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</si>
  <si>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</si>
  <si>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</si>
  <si>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TAREA</t>
  </si>
  <si>
    <t>Inicio del proyecto:</t>
  </si>
  <si>
    <t>Semana para mostrar:</t>
  </si>
  <si>
    <t>ASIGNADO
A</t>
  </si>
  <si>
    <t>PROGRESO</t>
  </si>
  <si>
    <t>INICIO</t>
  </si>
  <si>
    <t>FIN</t>
  </si>
  <si>
    <t>DÍAS</t>
  </si>
  <si>
    <t>La Semana para mostrar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para mostrar en la celda E4, comienza en la celda I4 y se calcula automáticamente. Hay 8 semanas representadas en esta vista desde la celda I4 hasta la celda BF4.
No debería modificar estas celdas.
La etiqueta de la semana para mostrar se encuentra en la celda C4.</t>
  </si>
  <si>
    <t>Etapa 02 Implementación</t>
  </si>
  <si>
    <t>Fin del proyecto:</t>
  </si>
  <si>
    <t>Proyecto TIENDA COVID</t>
  </si>
  <si>
    <t>CodiGO</t>
  </si>
  <si>
    <t>Etapa 01 Modelo de negocio</t>
  </si>
  <si>
    <t>Definir el alcance</t>
  </si>
  <si>
    <t>Requerimientos del sistema</t>
  </si>
  <si>
    <t>Inicio del proyecto</t>
  </si>
  <si>
    <t>Wilson C. Pedro M.</t>
  </si>
  <si>
    <t>Diseño de prototipos</t>
  </si>
  <si>
    <t>Desarrollo</t>
  </si>
  <si>
    <t>Etapa 03 Pase a producción</t>
  </si>
  <si>
    <t>Despliegue y publicación</t>
  </si>
  <si>
    <t>QA</t>
  </si>
  <si>
    <t>Pedro M.</t>
  </si>
  <si>
    <t>Wison C.</t>
  </si>
  <si>
    <t>Wilson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</si>
</sst>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d\-m\-yy;@"/>
    <numFmt numFmtId="170" formatCode="[$-C0A]d\ &quot;de&quot;\ mmm\ &quot;de&quot;\ yyyy;@"/>
    <numFmt numFmtId="171" formatCode="d"/>
    <numFmt numFmtId="172" formatCode="ddd\,\ d/m/yyyy"/>
  </numFmts>
  <fonts count="2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4"/>
      <color theme="1"/>
      <name val="Calibri"/>
      <family val="2"/>
      <scheme val="minor"/>
    </font>
  </fonts>
  <fills count="41">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65"/>
        <bgColor indexed="64"/>
      </patternFill>
    </fill>
  </fills>
  <borders count="1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4" fillId="0" borderId="0"/>
    <xf numFmtId="167"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69"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5" fillId="0" borderId="0" applyNumberForma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16" fillId="0" borderId="0" applyNumberFormat="0" applyFill="0" applyBorder="0" applyAlignment="0" applyProtection="0"/>
    <xf numFmtId="0" fontId="17" fillId="8" borderId="0" applyNumberFormat="0" applyBorder="0" applyAlignment="0" applyProtection="0"/>
    <xf numFmtId="0" fontId="18" fillId="9" borderId="0" applyNumberFormat="0" applyBorder="0" applyAlignment="0" applyProtection="0"/>
    <xf numFmtId="0" fontId="19" fillId="10" borderId="0" applyNumberFormat="0" applyBorder="0" applyAlignment="0" applyProtection="0"/>
    <xf numFmtId="0" fontId="20" fillId="11" borderId="11" applyNumberFormat="0" applyAlignment="0" applyProtection="0"/>
    <xf numFmtId="0" fontId="21" fillId="12" borderId="12" applyNumberFormat="0" applyAlignment="0" applyProtection="0"/>
    <xf numFmtId="0" fontId="22" fillId="12" borderId="11" applyNumberFormat="0" applyAlignment="0" applyProtection="0"/>
    <xf numFmtId="0" fontId="23" fillId="0" borderId="13" applyNumberFormat="0" applyFill="0" applyAlignment="0" applyProtection="0"/>
    <xf numFmtId="0" fontId="24" fillId="13" borderId="14" applyNumberFormat="0" applyAlignment="0" applyProtection="0"/>
    <xf numFmtId="0" fontId="25" fillId="0" borderId="0" applyNumberFormat="0" applyFill="0" applyBorder="0" applyAlignment="0" applyProtection="0"/>
    <xf numFmtId="0" fontId="7" fillId="14" borderId="15" applyNumberFormat="0" applyFont="0" applyAlignment="0" applyProtection="0"/>
    <xf numFmtId="0" fontId="26" fillId="0" borderId="0" applyNumberFormat="0" applyFill="0" applyBorder="0" applyAlignment="0" applyProtection="0"/>
    <xf numFmtId="0" fontId="5" fillId="0" borderId="16" applyNumberFormat="0" applyFill="0" applyAlignment="0" applyProtection="0"/>
    <xf numFmtId="0" fontId="14"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14"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14"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14"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14"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14"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cellStyleXfs>
  <cellXfs count="48">
    <xf numFmtId="0" fontId="0" fillId="0" borderId="0" xfId="0"/>
    <xf numFmtId="0" fontId="6" fillId="7" borderId="1" xfId="0" applyFont="1" applyFill="1" applyBorder="1" applyAlignment="1">
      <alignment horizontal="left" vertical="center" indent="1"/>
    </xf>
    <xf numFmtId="0" fontId="6" fillId="7" borderId="1" xfId="0" applyFont="1" applyFill="1" applyBorder="1" applyAlignment="1">
      <alignment horizontal="center" vertical="center" wrapText="1"/>
    </xf>
    <xf numFmtId="0" fontId="10" fillId="6" borderId="8" xfId="0" applyFont="1" applyFill="1" applyBorder="1" applyAlignment="1">
      <alignment horizontal="center" vertical="center" shrinkToFit="1"/>
    </xf>
    <xf numFmtId="0" fontId="5" fillId="4" borderId="2" xfId="0" applyFont="1" applyFill="1" applyBorder="1" applyAlignment="1">
      <alignment horizontal="left" vertical="center" indent="1"/>
    </xf>
    <xf numFmtId="0" fontId="5" fillId="5" borderId="2" xfId="0" applyFont="1" applyFill="1" applyBorder="1" applyAlignment="1">
      <alignment horizontal="left" vertical="center" indent="1"/>
    </xf>
    <xf numFmtId="0" fontId="7" fillId="4" borderId="2" xfId="11" applyFill="1">
      <alignment horizontal="center" vertical="center"/>
    </xf>
    <xf numFmtId="0" fontId="7" fillId="5" borderId="2" xfId="11" applyFill="1">
      <alignment horizontal="center" vertical="center"/>
    </xf>
    <xf numFmtId="171" fontId="9" fillId="3" borderId="6" xfId="0" applyNumberFormat="1" applyFont="1" applyFill="1" applyBorder="1" applyAlignment="1">
      <alignment horizontal="center" vertical="center"/>
    </xf>
    <xf numFmtId="171" fontId="9" fillId="3" borderId="0" xfId="0" applyNumberFormat="1" applyFont="1" applyFill="1" applyAlignment="1">
      <alignment horizontal="center" vertical="center"/>
    </xf>
    <xf numFmtId="171" fontId="9" fillId="3" borderId="7" xfId="0" applyNumberFormat="1" applyFont="1" applyFill="1" applyBorder="1" applyAlignment="1">
      <alignment horizontal="center" vertical="center"/>
    </xf>
    <xf numFmtId="9" fontId="4" fillId="4" borderId="2" xfId="2" applyFont="1" applyFill="1" applyBorder="1" applyAlignment="1">
      <alignment horizontal="center" vertical="center"/>
    </xf>
    <xf numFmtId="9" fontId="4" fillId="2" borderId="2" xfId="2" applyFont="1" applyFill="1" applyBorder="1" applyAlignment="1">
      <alignment horizontal="center" vertical="center"/>
    </xf>
    <xf numFmtId="9" fontId="4" fillId="5" borderId="2" xfId="2" applyFont="1" applyFill="1" applyBorder="1" applyAlignment="1">
      <alignment horizontal="center" vertical="center"/>
    </xf>
    <xf numFmtId="169" fontId="0" fillId="4" borderId="2" xfId="0" applyNumberFormat="1" applyFill="1" applyBorder="1" applyAlignment="1">
      <alignment horizontal="center" vertical="center"/>
    </xf>
    <xf numFmtId="169" fontId="4" fillId="4" borderId="2" xfId="0" applyNumberFormat="1" applyFont="1" applyFill="1" applyBorder="1" applyAlignment="1">
      <alignment horizontal="center" vertical="center"/>
    </xf>
    <xf numFmtId="169" fontId="7" fillId="2" borderId="2" xfId="10" applyFill="1">
      <alignment horizontal="center" vertical="center"/>
    </xf>
    <xf numFmtId="169" fontId="0" fillId="5" borderId="2" xfId="0" applyNumberFormat="1" applyFill="1" applyBorder="1" applyAlignment="1">
      <alignment horizontal="center" vertical="center"/>
    </xf>
    <xf numFmtId="169" fontId="4" fillId="5" borderId="2" xfId="0" applyNumberFormat="1" applyFont="1" applyFill="1" applyBorder="1" applyAlignment="1">
      <alignment horizontal="center" vertical="center"/>
    </xf>
    <xf numFmtId="0" fontId="0" fillId="2" borderId="2" xfId="12" applyFont="1" applyFill="1">
      <alignment horizontal="left" vertical="center" indent="2"/>
    </xf>
    <xf numFmtId="0" fontId="0" fillId="2" borderId="2" xfId="11" applyFont="1" applyFill="1">
      <alignment horizontal="center" vertical="center"/>
    </xf>
    <xf numFmtId="0" fontId="0" fillId="2" borderId="2" xfId="12" applyFont="1" applyFill="1" applyAlignment="1">
      <alignment horizontal="left" vertical="center" wrapText="1" indent="2"/>
    </xf>
    <xf numFmtId="0" fontId="14" fillId="40" borderId="0" xfId="3" applyFill="1" applyAlignment="1">
      <alignment wrapText="1"/>
    </xf>
    <xf numFmtId="0" fontId="11" fillId="40" borderId="0" xfId="5" applyFill="1" applyAlignment="1">
      <alignment horizontal="left"/>
    </xf>
    <xf numFmtId="0" fontId="1" fillId="40" borderId="0" xfId="0" applyFont="1" applyFill="1" applyAlignment="1">
      <alignment horizontal="left"/>
    </xf>
    <xf numFmtId="0" fontId="2" fillId="40" borderId="0" xfId="0" applyFont="1" applyFill="1"/>
    <xf numFmtId="0" fontId="2" fillId="40" borderId="0" xfId="0" applyFont="1" applyFill="1" applyAlignment="1">
      <alignment horizontal="center"/>
    </xf>
    <xf numFmtId="0" fontId="2" fillId="40" borderId="0" xfId="0" applyFont="1" applyFill="1" applyAlignment="1">
      <alignment horizontal="center" vertical="center"/>
    </xf>
    <xf numFmtId="0" fontId="0" fillId="40" borderId="0" xfId="0" applyFill="1"/>
    <xf numFmtId="0" fontId="12" fillId="40" borderId="0" xfId="0" applyFont="1" applyFill="1"/>
    <xf numFmtId="0" fontId="14" fillId="40" borderId="0" xfId="3" applyFill="1"/>
    <xf numFmtId="0" fontId="13" fillId="40" borderId="0" xfId="1" applyFont="1" applyFill="1" applyProtection="1">
      <alignment vertical="top"/>
    </xf>
    <xf numFmtId="0" fontId="8" fillId="40" borderId="0" xfId="7" applyFill="1">
      <alignment vertical="top"/>
    </xf>
    <xf numFmtId="0" fontId="0" fillId="40" borderId="0" xfId="0" applyFill="1" applyAlignment="1">
      <alignment wrapText="1"/>
    </xf>
    <xf numFmtId="0" fontId="0" fillId="40" borderId="9" xfId="0" applyFill="1" applyBorder="1" applyAlignment="1">
      <alignment vertical="center"/>
    </xf>
    <xf numFmtId="0" fontId="4" fillId="40" borderId="2" xfId="0" applyFont="1" applyFill="1" applyBorder="1" applyAlignment="1">
      <alignment horizontal="center" vertical="center"/>
    </xf>
    <xf numFmtId="0" fontId="0" fillId="40" borderId="0" xfId="0" applyFill="1" applyAlignment="1">
      <alignment vertical="center"/>
    </xf>
    <xf numFmtId="0" fontId="0" fillId="40" borderId="0" xfId="0" applyFill="1" applyAlignment="1">
      <alignment horizontal="center"/>
    </xf>
    <xf numFmtId="0" fontId="14" fillId="39" borderId="0" xfId="0" applyFont="1" applyFill="1" applyBorder="1" applyAlignment="1">
      <alignment horizontal="center" vertical="center"/>
    </xf>
    <xf numFmtId="0" fontId="27" fillId="40" borderId="0" xfId="6" applyFont="1" applyFill="1"/>
    <xf numFmtId="170" fontId="0" fillId="3" borderId="4" xfId="0" applyNumberFormat="1" applyFill="1" applyBorder="1" applyAlignment="1">
      <alignment horizontal="left" vertical="center" wrapText="1" indent="1"/>
    </xf>
    <xf numFmtId="170" fontId="0" fillId="3" borderId="1" xfId="0" applyNumberFormat="1" applyFill="1" applyBorder="1" applyAlignment="1">
      <alignment horizontal="left" vertical="center" wrapText="1" indent="1"/>
    </xf>
    <xf numFmtId="170" fontId="0" fillId="3" borderId="5" xfId="0" applyNumberFormat="1" applyFill="1" applyBorder="1" applyAlignment="1">
      <alignment horizontal="left" vertical="center" wrapText="1" indent="1"/>
    </xf>
    <xf numFmtId="172" fontId="5" fillId="40" borderId="17" xfId="9" applyNumberFormat="1" applyFont="1" applyFill="1" applyBorder="1">
      <alignment horizontal="center" vertical="center"/>
    </xf>
    <xf numFmtId="0" fontId="5" fillId="40" borderId="17" xfId="8" applyFont="1" applyFill="1" applyBorder="1" applyAlignment="1">
      <alignment horizontal="center" vertical="center"/>
    </xf>
    <xf numFmtId="0" fontId="14" fillId="39" borderId="0" xfId="8" applyFont="1" applyFill="1">
      <alignment horizontal="right" indent="1"/>
    </xf>
    <xf numFmtId="0" fontId="14" fillId="39" borderId="0" xfId="8" applyFont="1" applyFill="1" applyBorder="1">
      <alignment horizontal="right" indent="1"/>
    </xf>
    <xf numFmtId="0" fontId="0" fillId="40" borderId="10" xfId="0" applyFill="1" applyBorder="1"/>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00000000-0005-0000-0000-00001F000000}"/>
    <cellStyle name="Hipervínculo" xfId="1" builtinId="8" customBuiltin="1"/>
    <cellStyle name="Hipervínculo visitado" xfId="13" builtinId="9" customBuiltin="1"/>
    <cellStyle name="Incorrecto" xfId="19" builtinId="27" customBuiltin="1"/>
    <cellStyle name="Inicio del proyecto" xfId="9" xr:uid="{00000000-0005-0000-0000-000023000000}"/>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00000000-0005-0000-0000-000029000000}"/>
    <cellStyle name="Normal" xfId="0" builtinId="0" customBuiltin="1"/>
    <cellStyle name="Notas" xfId="27" builtinId="10" customBuiltin="1"/>
    <cellStyle name="Porcentaje" xfId="2" builtinId="5" customBuiltin="1"/>
    <cellStyle name="Salida" xfId="22" builtinId="21" customBuiltin="1"/>
    <cellStyle name="Tarea" xfId="12" xr:uid="{00000000-0005-0000-0000-00002E000000}"/>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00000000-0005-0000-0000-000035000000}"/>
  </cellStyles>
  <dxfs count="81">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80"/>
      <tableStyleElement type="headerRow" dxfId="79"/>
      <tableStyleElement type="totalRow" dxfId="78"/>
      <tableStyleElement type="firstColumn" dxfId="77"/>
      <tableStyleElement type="lastColumn" dxfId="76"/>
      <tableStyleElement type="firstRowStripe" dxfId="75"/>
      <tableStyleElement type="secondRowStripe" dxfId="74"/>
      <tableStyleElement type="firstColumnStripe" dxfId="73"/>
      <tableStyleElement type="secondColumnStripe" dxfId="7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N17"/>
  <sheetViews>
    <sheetView tabSelected="1" showRuler="0" zoomScale="60" zoomScaleNormal="60" zoomScalePageLayoutView="70" workbookViewId="0">
      <pane xSplit="6" ySplit="7" topLeftCell="G8" activePane="bottomRight" state="frozen"/>
      <selection pane="topRight" activeCell="G1" sqref="G1"/>
      <selection pane="bottomLeft" activeCell="A8" sqref="A8"/>
      <selection pane="bottomRight" activeCell="D15" sqref="D15"/>
    </sheetView>
  </sheetViews>
  <sheetFormatPr baseColWidth="10" defaultColWidth="9.1796875" defaultRowHeight="30" customHeight="1" x14ac:dyDescent="0.35"/>
  <cols>
    <col min="1" max="1" width="2.7265625" style="30" customWidth="1"/>
    <col min="2" max="2" width="39.1796875" style="28" customWidth="1"/>
    <col min="3" max="3" width="30.7265625" style="28" customWidth="1"/>
    <col min="4" max="4" width="12.26953125" style="28" customWidth="1"/>
    <col min="5" max="5" width="10.7265625" style="37" bestFit="1" customWidth="1"/>
    <col min="6" max="6" width="10.7265625" style="28" bestFit="1" customWidth="1"/>
    <col min="7" max="7" width="2.7265625" style="28" customWidth="1"/>
    <col min="8" max="8" width="9.453125" style="28" hidden="1" customWidth="1"/>
    <col min="9" max="274" width="2.7265625" style="28" customWidth="1"/>
    <col min="275" max="278" width="9.1796875" style="28"/>
    <col min="279" max="280" width="10.26953125" style="28"/>
    <col min="281" max="16384" width="9.1796875" style="28"/>
  </cols>
  <sheetData>
    <row r="1" spans="1:274" ht="30" customHeight="1" x14ac:dyDescent="0.65">
      <c r="A1" s="22" t="s">
        <v>0</v>
      </c>
      <c r="B1" s="23" t="s">
        <v>17</v>
      </c>
      <c r="C1" s="24"/>
      <c r="D1" s="25"/>
      <c r="E1" s="26"/>
      <c r="F1" s="27"/>
      <c r="H1" s="25"/>
      <c r="I1" s="29"/>
    </row>
    <row r="2" spans="1:274" ht="30" customHeight="1" x14ac:dyDescent="0.45">
      <c r="A2" s="30" t="s">
        <v>1</v>
      </c>
      <c r="B2" s="39" t="s">
        <v>18</v>
      </c>
      <c r="C2" s="44" t="s">
        <v>7</v>
      </c>
      <c r="D2" s="44"/>
      <c r="E2" s="44" t="s">
        <v>16</v>
      </c>
      <c r="F2" s="44"/>
      <c r="I2" s="31"/>
    </row>
    <row r="3" spans="1:274" ht="30" customHeight="1" x14ac:dyDescent="0.35">
      <c r="A3" s="30" t="s">
        <v>2</v>
      </c>
      <c r="B3" s="32"/>
      <c r="C3" s="43">
        <f>+E9</f>
        <v>44066</v>
      </c>
      <c r="D3" s="43"/>
      <c r="E3" s="43">
        <f>+MAX(F8:F17)</f>
        <v>44095</v>
      </c>
      <c r="F3" s="43"/>
    </row>
    <row r="4" spans="1:274" ht="30" customHeight="1" x14ac:dyDescent="0.35">
      <c r="A4" s="22" t="s">
        <v>14</v>
      </c>
      <c r="C4" s="45" t="s">
        <v>8</v>
      </c>
      <c r="D4" s="46"/>
      <c r="E4" s="38">
        <v>1</v>
      </c>
      <c r="I4" s="40">
        <f>I5</f>
        <v>44067</v>
      </c>
      <c r="J4" s="41"/>
      <c r="K4" s="41"/>
      <c r="L4" s="41"/>
      <c r="M4" s="41"/>
      <c r="N4" s="41"/>
      <c r="O4" s="42"/>
      <c r="P4" s="40">
        <f>P5</f>
        <v>44074</v>
      </c>
      <c r="Q4" s="41"/>
      <c r="R4" s="41"/>
      <c r="S4" s="41"/>
      <c r="T4" s="41"/>
      <c r="U4" s="41"/>
      <c r="V4" s="42"/>
      <c r="W4" s="40">
        <f>W5</f>
        <v>44081</v>
      </c>
      <c r="X4" s="41"/>
      <c r="Y4" s="41"/>
      <c r="Z4" s="41"/>
      <c r="AA4" s="41"/>
      <c r="AB4" s="41"/>
      <c r="AC4" s="42"/>
      <c r="AD4" s="40">
        <f>AD5</f>
        <v>44088</v>
      </c>
      <c r="AE4" s="41"/>
      <c r="AF4" s="41"/>
      <c r="AG4" s="41"/>
      <c r="AH4" s="41"/>
      <c r="AI4" s="41"/>
      <c r="AJ4" s="42"/>
      <c r="AK4" s="40">
        <f>AK5</f>
        <v>44095</v>
      </c>
      <c r="AL4" s="41"/>
      <c r="AM4" s="41"/>
      <c r="AN4" s="41"/>
      <c r="AO4" s="41"/>
      <c r="AP4" s="41"/>
      <c r="AQ4" s="42"/>
      <c r="AR4" s="40">
        <f>AR5</f>
        <v>44102</v>
      </c>
      <c r="AS4" s="41"/>
      <c r="AT4" s="41"/>
      <c r="AU4" s="41"/>
      <c r="AV4" s="41"/>
      <c r="AW4" s="41"/>
      <c r="AX4" s="42"/>
      <c r="AY4" s="40">
        <f>AY5</f>
        <v>44109</v>
      </c>
      <c r="AZ4" s="41"/>
      <c r="BA4" s="41"/>
      <c r="BB4" s="41"/>
      <c r="BC4" s="41"/>
      <c r="BD4" s="41"/>
      <c r="BE4" s="42"/>
      <c r="BF4" s="40">
        <f>BF5</f>
        <v>44116</v>
      </c>
      <c r="BG4" s="41"/>
      <c r="BH4" s="41"/>
      <c r="BI4" s="41"/>
      <c r="BJ4" s="41"/>
      <c r="BK4" s="41"/>
      <c r="BL4" s="42"/>
      <c r="BM4" s="40">
        <f>BM5</f>
        <v>44123</v>
      </c>
      <c r="BN4" s="41"/>
      <c r="BO4" s="41"/>
      <c r="BP4" s="41"/>
      <c r="BQ4" s="41"/>
      <c r="BR4" s="41"/>
      <c r="BS4" s="42"/>
      <c r="BT4" s="40">
        <f>BT5</f>
        <v>44130</v>
      </c>
      <c r="BU4" s="41"/>
      <c r="BV4" s="41"/>
      <c r="BW4" s="41"/>
      <c r="BX4" s="41"/>
      <c r="BY4" s="41"/>
      <c r="BZ4" s="42"/>
      <c r="CA4" s="40">
        <f>CA5</f>
        <v>44137</v>
      </c>
      <c r="CB4" s="41"/>
      <c r="CC4" s="41"/>
      <c r="CD4" s="41"/>
      <c r="CE4" s="41"/>
      <c r="CF4" s="41"/>
      <c r="CG4" s="42"/>
      <c r="CH4" s="40">
        <f>CH5</f>
        <v>44144</v>
      </c>
      <c r="CI4" s="41"/>
      <c r="CJ4" s="41"/>
      <c r="CK4" s="41"/>
      <c r="CL4" s="41"/>
      <c r="CM4" s="41"/>
      <c r="CN4" s="42"/>
      <c r="CO4" s="40">
        <f>CO5</f>
        <v>44151</v>
      </c>
      <c r="CP4" s="41"/>
      <c r="CQ4" s="41"/>
      <c r="CR4" s="41"/>
      <c r="CS4" s="41"/>
      <c r="CT4" s="41"/>
      <c r="CU4" s="42"/>
      <c r="CV4" s="40">
        <f>CV5</f>
        <v>44158</v>
      </c>
      <c r="CW4" s="41"/>
      <c r="CX4" s="41"/>
      <c r="CY4" s="41"/>
      <c r="CZ4" s="41"/>
      <c r="DA4" s="41"/>
      <c r="DB4" s="42"/>
      <c r="DC4" s="40">
        <f>DC5</f>
        <v>44165</v>
      </c>
      <c r="DD4" s="41"/>
      <c r="DE4" s="41"/>
      <c r="DF4" s="41"/>
      <c r="DG4" s="41"/>
      <c r="DH4" s="41"/>
      <c r="DI4" s="42"/>
      <c r="DJ4" s="40">
        <f>DJ5</f>
        <v>44172</v>
      </c>
      <c r="DK4" s="41"/>
      <c r="DL4" s="41"/>
      <c r="DM4" s="41"/>
      <c r="DN4" s="41"/>
      <c r="DO4" s="41"/>
      <c r="DP4" s="42"/>
      <c r="DQ4" s="40">
        <f>DQ5</f>
        <v>44179</v>
      </c>
      <c r="DR4" s="41"/>
      <c r="DS4" s="41"/>
      <c r="DT4" s="41"/>
      <c r="DU4" s="41"/>
      <c r="DV4" s="41"/>
      <c r="DW4" s="42"/>
      <c r="DX4" s="40">
        <f>DX5</f>
        <v>44186</v>
      </c>
      <c r="DY4" s="41"/>
      <c r="DZ4" s="41"/>
      <c r="EA4" s="41"/>
      <c r="EB4" s="41"/>
      <c r="EC4" s="41"/>
      <c r="ED4" s="42"/>
      <c r="EE4" s="40">
        <f>EE5</f>
        <v>44193</v>
      </c>
      <c r="EF4" s="41"/>
      <c r="EG4" s="41"/>
      <c r="EH4" s="41"/>
      <c r="EI4" s="41"/>
      <c r="EJ4" s="41"/>
      <c r="EK4" s="42"/>
      <c r="EL4" s="40">
        <f>EL5</f>
        <v>44200</v>
      </c>
      <c r="EM4" s="41"/>
      <c r="EN4" s="41"/>
      <c r="EO4" s="41"/>
      <c r="EP4" s="41"/>
      <c r="EQ4" s="41"/>
      <c r="ER4" s="42"/>
      <c r="ES4" s="40">
        <f>ES5</f>
        <v>44207</v>
      </c>
      <c r="ET4" s="41"/>
      <c r="EU4" s="41"/>
      <c r="EV4" s="41"/>
      <c r="EW4" s="41"/>
      <c r="EX4" s="41"/>
      <c r="EY4" s="42"/>
      <c r="EZ4" s="40">
        <f>EZ5</f>
        <v>44214</v>
      </c>
      <c r="FA4" s="41"/>
      <c r="FB4" s="41"/>
      <c r="FC4" s="41"/>
      <c r="FD4" s="41"/>
      <c r="FE4" s="41"/>
      <c r="FF4" s="42"/>
      <c r="FG4" s="40">
        <f>FG5</f>
        <v>44221</v>
      </c>
      <c r="FH4" s="41"/>
      <c r="FI4" s="41"/>
      <c r="FJ4" s="41"/>
      <c r="FK4" s="41"/>
      <c r="FL4" s="41"/>
      <c r="FM4" s="42"/>
      <c r="FN4" s="40">
        <f>FN5</f>
        <v>44228</v>
      </c>
      <c r="FO4" s="41"/>
      <c r="FP4" s="41"/>
      <c r="FQ4" s="41"/>
      <c r="FR4" s="41"/>
      <c r="FS4" s="41"/>
      <c r="FT4" s="42"/>
      <c r="FU4" s="40">
        <f>FU5</f>
        <v>44235</v>
      </c>
      <c r="FV4" s="41"/>
      <c r="FW4" s="41"/>
      <c r="FX4" s="41"/>
      <c r="FY4" s="41"/>
      <c r="FZ4" s="41"/>
      <c r="GA4" s="42"/>
      <c r="GB4" s="40">
        <f>GB5</f>
        <v>44242</v>
      </c>
      <c r="GC4" s="41"/>
      <c r="GD4" s="41"/>
      <c r="GE4" s="41"/>
      <c r="GF4" s="41"/>
      <c r="GG4" s="41"/>
      <c r="GH4" s="42"/>
      <c r="GI4" s="40">
        <f>GI5</f>
        <v>44249</v>
      </c>
      <c r="GJ4" s="41"/>
      <c r="GK4" s="41"/>
      <c r="GL4" s="41"/>
      <c r="GM4" s="41"/>
      <c r="GN4" s="41"/>
      <c r="GO4" s="42"/>
      <c r="GP4" s="40">
        <f>GP5</f>
        <v>44256</v>
      </c>
      <c r="GQ4" s="41"/>
      <c r="GR4" s="41"/>
      <c r="GS4" s="41"/>
      <c r="GT4" s="41"/>
      <c r="GU4" s="41"/>
      <c r="GV4" s="42"/>
      <c r="GW4" s="40">
        <f>GW5</f>
        <v>44263</v>
      </c>
      <c r="GX4" s="41"/>
      <c r="GY4" s="41"/>
      <c r="GZ4" s="41"/>
      <c r="HA4" s="41"/>
      <c r="HB4" s="41"/>
      <c r="HC4" s="42"/>
      <c r="HD4" s="40">
        <f>HD5</f>
        <v>44270</v>
      </c>
      <c r="HE4" s="41"/>
      <c r="HF4" s="41"/>
      <c r="HG4" s="41"/>
      <c r="HH4" s="41"/>
      <c r="HI4" s="41"/>
      <c r="HJ4" s="42"/>
      <c r="HK4" s="40">
        <f>HK5</f>
        <v>44277</v>
      </c>
      <c r="HL4" s="41"/>
      <c r="HM4" s="41"/>
      <c r="HN4" s="41"/>
      <c r="HO4" s="41"/>
      <c r="HP4" s="41"/>
      <c r="HQ4" s="42"/>
      <c r="HR4" s="40">
        <f>HR5</f>
        <v>44284</v>
      </c>
      <c r="HS4" s="41"/>
      <c r="HT4" s="41"/>
      <c r="HU4" s="41"/>
      <c r="HV4" s="41"/>
      <c r="HW4" s="41"/>
      <c r="HX4" s="42"/>
      <c r="HY4" s="40">
        <f>HY5</f>
        <v>44291</v>
      </c>
      <c r="HZ4" s="41"/>
      <c r="IA4" s="41"/>
      <c r="IB4" s="41"/>
      <c r="IC4" s="41"/>
      <c r="ID4" s="41"/>
      <c r="IE4" s="42"/>
      <c r="IF4" s="40">
        <f>IF5</f>
        <v>44298</v>
      </c>
      <c r="IG4" s="41"/>
      <c r="IH4" s="41"/>
      <c r="II4" s="41"/>
      <c r="IJ4" s="41"/>
      <c r="IK4" s="41"/>
      <c r="IL4" s="42"/>
      <c r="IM4" s="40">
        <f>IM5</f>
        <v>44305</v>
      </c>
      <c r="IN4" s="41"/>
      <c r="IO4" s="41"/>
      <c r="IP4" s="41"/>
      <c r="IQ4" s="41"/>
      <c r="IR4" s="41"/>
      <c r="IS4" s="42"/>
      <c r="IT4" s="40">
        <f>IT5</f>
        <v>44312</v>
      </c>
      <c r="IU4" s="41"/>
      <c r="IV4" s="41"/>
      <c r="IW4" s="41"/>
      <c r="IX4" s="41"/>
      <c r="IY4" s="41"/>
      <c r="IZ4" s="42"/>
      <c r="JA4" s="40">
        <f>JA5</f>
        <v>44319</v>
      </c>
      <c r="JB4" s="41"/>
      <c r="JC4" s="41"/>
      <c r="JD4" s="41"/>
      <c r="JE4" s="41"/>
      <c r="JF4" s="41"/>
      <c r="JG4" s="42"/>
      <c r="JH4" s="40">
        <f>JH5</f>
        <v>44326</v>
      </c>
      <c r="JI4" s="41"/>
      <c r="JJ4" s="41"/>
      <c r="JK4" s="41"/>
      <c r="JL4" s="41"/>
      <c r="JM4" s="41"/>
      <c r="JN4" s="42"/>
    </row>
    <row r="5" spans="1:274" ht="15" customHeight="1" x14ac:dyDescent="0.35">
      <c r="A5" s="22" t="s">
        <v>3</v>
      </c>
      <c r="B5" s="47"/>
      <c r="C5" s="47"/>
      <c r="D5" s="47"/>
      <c r="E5" s="47"/>
      <c r="F5" s="47"/>
      <c r="G5" s="47"/>
      <c r="I5" s="8">
        <f>Project_Start-WEEKDAY(Project_Start,1)+2+7*(Display_Week-1)</f>
        <v>44067</v>
      </c>
      <c r="J5" s="9">
        <f>I5+1</f>
        <v>44068</v>
      </c>
      <c r="K5" s="9">
        <f t="shared" ref="K5:U5" si="0">J5+1</f>
        <v>44069</v>
      </c>
      <c r="L5" s="9">
        <f t="shared" si="0"/>
        <v>44070</v>
      </c>
      <c r="M5" s="9">
        <f t="shared" si="0"/>
        <v>44071</v>
      </c>
      <c r="N5" s="9">
        <f t="shared" si="0"/>
        <v>44072</v>
      </c>
      <c r="O5" s="10">
        <f t="shared" si="0"/>
        <v>44073</v>
      </c>
      <c r="P5" s="8">
        <f>O5+1</f>
        <v>44074</v>
      </c>
      <c r="Q5" s="9">
        <f>P5+1</f>
        <v>44075</v>
      </c>
      <c r="R5" s="9">
        <f t="shared" si="0"/>
        <v>44076</v>
      </c>
      <c r="S5" s="9">
        <f t="shared" si="0"/>
        <v>44077</v>
      </c>
      <c r="T5" s="9">
        <f t="shared" si="0"/>
        <v>44078</v>
      </c>
      <c r="U5" s="9">
        <f t="shared" si="0"/>
        <v>44079</v>
      </c>
      <c r="V5" s="9">
        <f t="shared" ref="V5" si="1">U5+1</f>
        <v>44080</v>
      </c>
      <c r="W5" s="9">
        <f t="shared" ref="W5" si="2">V5+1</f>
        <v>44081</v>
      </c>
      <c r="X5" s="9">
        <f t="shared" ref="X5" si="3">W5+1</f>
        <v>44082</v>
      </c>
      <c r="Y5" s="9">
        <f t="shared" ref="Y5" si="4">X5+1</f>
        <v>44083</v>
      </c>
      <c r="Z5" s="10">
        <f t="shared" ref="Z5:AB5" si="5">Y5+1</f>
        <v>44084</v>
      </c>
      <c r="AA5" s="8">
        <f t="shared" si="5"/>
        <v>44085</v>
      </c>
      <c r="AB5" s="9">
        <f t="shared" si="5"/>
        <v>44086</v>
      </c>
      <c r="AC5" s="9">
        <f t="shared" ref="AC5" si="6">AB5+1</f>
        <v>44087</v>
      </c>
      <c r="AD5" s="9">
        <f t="shared" ref="AD5" si="7">AC5+1</f>
        <v>44088</v>
      </c>
      <c r="AE5" s="9">
        <f t="shared" ref="AE5:AF5" si="8">AD5+1</f>
        <v>44089</v>
      </c>
      <c r="AF5" s="9">
        <f t="shared" si="8"/>
        <v>44090</v>
      </c>
      <c r="AG5" s="9">
        <f t="shared" ref="AG5" si="9">AF5+1</f>
        <v>44091</v>
      </c>
      <c r="AH5" s="9">
        <f t="shared" ref="AH5" si="10">AG5+1</f>
        <v>44092</v>
      </c>
      <c r="AI5" s="9">
        <f t="shared" ref="AI5" si="11">AH5+1</f>
        <v>44093</v>
      </c>
      <c r="AJ5" s="9">
        <f t="shared" ref="AJ5" si="12">AI5+1</f>
        <v>44094</v>
      </c>
      <c r="AK5" s="10">
        <f t="shared" ref="AK5:AM5" si="13">AJ5+1</f>
        <v>44095</v>
      </c>
      <c r="AL5" s="8">
        <f t="shared" si="13"/>
        <v>44096</v>
      </c>
      <c r="AM5" s="9">
        <f t="shared" si="13"/>
        <v>44097</v>
      </c>
      <c r="AN5" s="9">
        <f t="shared" ref="AN5" si="14">AM5+1</f>
        <v>44098</v>
      </c>
      <c r="AO5" s="9">
        <f t="shared" ref="AO5" si="15">AN5+1</f>
        <v>44099</v>
      </c>
      <c r="AP5" s="9">
        <f t="shared" ref="AP5:AQ5" si="16">AO5+1</f>
        <v>44100</v>
      </c>
      <c r="AQ5" s="9">
        <f t="shared" si="16"/>
        <v>44101</v>
      </c>
      <c r="AR5" s="9">
        <f t="shared" ref="AR5" si="17">AQ5+1</f>
        <v>44102</v>
      </c>
      <c r="AS5" s="9">
        <f t="shared" ref="AS5" si="18">AR5+1</f>
        <v>44103</v>
      </c>
      <c r="AT5" s="9">
        <f t="shared" ref="AT5" si="19">AS5+1</f>
        <v>44104</v>
      </c>
      <c r="AU5" s="9">
        <f t="shared" ref="AU5" si="20">AT5+1</f>
        <v>44105</v>
      </c>
      <c r="AV5" s="10">
        <f t="shared" ref="AV5:AX5" si="21">AU5+1</f>
        <v>44106</v>
      </c>
      <c r="AW5" s="8">
        <f t="shared" si="21"/>
        <v>44107</v>
      </c>
      <c r="AX5" s="9">
        <f t="shared" si="21"/>
        <v>44108</v>
      </c>
      <c r="AY5" s="9">
        <f t="shared" ref="AY5" si="22">AX5+1</f>
        <v>44109</v>
      </c>
      <c r="AZ5" s="9">
        <f t="shared" ref="AZ5" si="23">AY5+1</f>
        <v>44110</v>
      </c>
      <c r="BA5" s="9">
        <f t="shared" ref="BA5:BB5" si="24">AZ5+1</f>
        <v>44111</v>
      </c>
      <c r="BB5" s="9">
        <f t="shared" si="24"/>
        <v>44112</v>
      </c>
      <c r="BC5" s="9">
        <f t="shared" ref="BC5" si="25">BB5+1</f>
        <v>44113</v>
      </c>
      <c r="BD5" s="9">
        <f t="shared" ref="BD5" si="26">BC5+1</f>
        <v>44114</v>
      </c>
      <c r="BE5" s="9">
        <f t="shared" ref="BE5" si="27">BD5+1</f>
        <v>44115</v>
      </c>
      <c r="BF5" s="9">
        <f t="shared" ref="BF5" si="28">BE5+1</f>
        <v>44116</v>
      </c>
      <c r="BG5" s="10">
        <f t="shared" ref="BG5:BI5" si="29">BF5+1</f>
        <v>44117</v>
      </c>
      <c r="BH5" s="8">
        <f t="shared" si="29"/>
        <v>44118</v>
      </c>
      <c r="BI5" s="9">
        <f t="shared" si="29"/>
        <v>44119</v>
      </c>
      <c r="BJ5" s="9">
        <f t="shared" ref="BJ5" si="30">BI5+1</f>
        <v>44120</v>
      </c>
      <c r="BK5" s="9">
        <f t="shared" ref="BK5" si="31">BJ5+1</f>
        <v>44121</v>
      </c>
      <c r="BL5" s="9">
        <f t="shared" ref="BL5:BM5" si="32">BK5+1</f>
        <v>44122</v>
      </c>
      <c r="BM5" s="9">
        <f t="shared" si="32"/>
        <v>44123</v>
      </c>
      <c r="BN5" s="9">
        <f t="shared" ref="BN5" si="33">BM5+1</f>
        <v>44124</v>
      </c>
      <c r="BO5" s="9">
        <f t="shared" ref="BO5" si="34">BN5+1</f>
        <v>44125</v>
      </c>
      <c r="BP5" s="9">
        <f t="shared" ref="BP5" si="35">BO5+1</f>
        <v>44126</v>
      </c>
      <c r="BQ5" s="9">
        <f t="shared" ref="BQ5" si="36">BP5+1</f>
        <v>44127</v>
      </c>
      <c r="BR5" s="10">
        <f t="shared" ref="BR5:BT5" si="37">BQ5+1</f>
        <v>44128</v>
      </c>
      <c r="BS5" s="8">
        <f t="shared" si="37"/>
        <v>44129</v>
      </c>
      <c r="BT5" s="9">
        <f t="shared" si="37"/>
        <v>44130</v>
      </c>
      <c r="BU5" s="9">
        <f t="shared" ref="BU5" si="38">BT5+1</f>
        <v>44131</v>
      </c>
      <c r="BV5" s="9">
        <f t="shared" ref="BV5" si="39">BU5+1</f>
        <v>44132</v>
      </c>
      <c r="BW5" s="9">
        <f t="shared" ref="BW5:BX5" si="40">BV5+1</f>
        <v>44133</v>
      </c>
      <c r="BX5" s="9">
        <f t="shared" si="40"/>
        <v>44134</v>
      </c>
      <c r="BY5" s="9">
        <f t="shared" ref="BY5" si="41">BX5+1</f>
        <v>44135</v>
      </c>
      <c r="BZ5" s="9">
        <f t="shared" ref="BZ5" si="42">BY5+1</f>
        <v>44136</v>
      </c>
      <c r="CA5" s="9">
        <f t="shared" ref="CA5" si="43">BZ5+1</f>
        <v>44137</v>
      </c>
      <c r="CB5" s="9">
        <f t="shared" ref="CB5" si="44">CA5+1</f>
        <v>44138</v>
      </c>
      <c r="CC5" s="10">
        <f t="shared" ref="CC5:CE5" si="45">CB5+1</f>
        <v>44139</v>
      </c>
      <c r="CD5" s="8">
        <f t="shared" si="45"/>
        <v>44140</v>
      </c>
      <c r="CE5" s="9">
        <f t="shared" si="45"/>
        <v>44141</v>
      </c>
      <c r="CF5" s="9">
        <f t="shared" ref="CF5" si="46">CE5+1</f>
        <v>44142</v>
      </c>
      <c r="CG5" s="9">
        <f t="shared" ref="CG5" si="47">CF5+1</f>
        <v>44143</v>
      </c>
      <c r="CH5" s="9">
        <f t="shared" ref="CH5:CI5" si="48">CG5+1</f>
        <v>44144</v>
      </c>
      <c r="CI5" s="9">
        <f t="shared" si="48"/>
        <v>44145</v>
      </c>
      <c r="CJ5" s="9">
        <f t="shared" ref="CJ5" si="49">CI5+1</f>
        <v>44146</v>
      </c>
      <c r="CK5" s="9">
        <f t="shared" ref="CK5" si="50">CJ5+1</f>
        <v>44147</v>
      </c>
      <c r="CL5" s="9">
        <f t="shared" ref="CL5" si="51">CK5+1</f>
        <v>44148</v>
      </c>
      <c r="CM5" s="9">
        <f t="shared" ref="CM5" si="52">CL5+1</f>
        <v>44149</v>
      </c>
      <c r="CN5" s="10">
        <f t="shared" ref="CN5:CP5" si="53">CM5+1</f>
        <v>44150</v>
      </c>
      <c r="CO5" s="8">
        <f t="shared" si="53"/>
        <v>44151</v>
      </c>
      <c r="CP5" s="9">
        <f t="shared" si="53"/>
        <v>44152</v>
      </c>
      <c r="CQ5" s="9">
        <f t="shared" ref="CQ5" si="54">CP5+1</f>
        <v>44153</v>
      </c>
      <c r="CR5" s="9">
        <f t="shared" ref="CR5" si="55">CQ5+1</f>
        <v>44154</v>
      </c>
      <c r="CS5" s="9">
        <f t="shared" ref="CS5:CT5" si="56">CR5+1</f>
        <v>44155</v>
      </c>
      <c r="CT5" s="9">
        <f t="shared" si="56"/>
        <v>44156</v>
      </c>
      <c r="CU5" s="9">
        <f t="shared" ref="CU5" si="57">CT5+1</f>
        <v>44157</v>
      </c>
      <c r="CV5" s="9">
        <f t="shared" ref="CV5" si="58">CU5+1</f>
        <v>44158</v>
      </c>
      <c r="CW5" s="9">
        <f t="shared" ref="CW5" si="59">CV5+1</f>
        <v>44159</v>
      </c>
      <c r="CX5" s="9">
        <f t="shared" ref="CX5" si="60">CW5+1</f>
        <v>44160</v>
      </c>
      <c r="CY5" s="10">
        <f t="shared" ref="CY5:DA5" si="61">CX5+1</f>
        <v>44161</v>
      </c>
      <c r="CZ5" s="8">
        <f t="shared" si="61"/>
        <v>44162</v>
      </c>
      <c r="DA5" s="9">
        <f t="shared" si="61"/>
        <v>44163</v>
      </c>
      <c r="DB5" s="9">
        <f t="shared" ref="DB5" si="62">DA5+1</f>
        <v>44164</v>
      </c>
      <c r="DC5" s="9">
        <f t="shared" ref="DC5" si="63">DB5+1</f>
        <v>44165</v>
      </c>
      <c r="DD5" s="9">
        <f t="shared" ref="DD5:DE5" si="64">DC5+1</f>
        <v>44166</v>
      </c>
      <c r="DE5" s="9">
        <f t="shared" si="64"/>
        <v>44167</v>
      </c>
      <c r="DF5" s="9">
        <f t="shared" ref="DF5" si="65">DE5+1</f>
        <v>44168</v>
      </c>
      <c r="DG5" s="9">
        <f t="shared" ref="DG5" si="66">DF5+1</f>
        <v>44169</v>
      </c>
      <c r="DH5" s="9">
        <f t="shared" ref="DH5" si="67">DG5+1</f>
        <v>44170</v>
      </c>
      <c r="DI5" s="9">
        <f t="shared" ref="DI5" si="68">DH5+1</f>
        <v>44171</v>
      </c>
      <c r="DJ5" s="10">
        <f t="shared" ref="DJ5:DL5" si="69">DI5+1</f>
        <v>44172</v>
      </c>
      <c r="DK5" s="8">
        <f t="shared" si="69"/>
        <v>44173</v>
      </c>
      <c r="DL5" s="9">
        <f t="shared" si="69"/>
        <v>44174</v>
      </c>
      <c r="DM5" s="9">
        <f t="shared" ref="DM5" si="70">DL5+1</f>
        <v>44175</v>
      </c>
      <c r="DN5" s="9">
        <f t="shared" ref="DN5" si="71">DM5+1</f>
        <v>44176</v>
      </c>
      <c r="DO5" s="9">
        <f t="shared" ref="DO5:DP5" si="72">DN5+1</f>
        <v>44177</v>
      </c>
      <c r="DP5" s="9">
        <f t="shared" si="72"/>
        <v>44178</v>
      </c>
      <c r="DQ5" s="9">
        <f t="shared" ref="DQ5" si="73">DP5+1</f>
        <v>44179</v>
      </c>
      <c r="DR5" s="9">
        <f t="shared" ref="DR5" si="74">DQ5+1</f>
        <v>44180</v>
      </c>
      <c r="DS5" s="9">
        <f t="shared" ref="DS5" si="75">DR5+1</f>
        <v>44181</v>
      </c>
      <c r="DT5" s="9">
        <f t="shared" ref="DT5" si="76">DS5+1</f>
        <v>44182</v>
      </c>
      <c r="DU5" s="10">
        <f t="shared" ref="DU5:DW5" si="77">DT5+1</f>
        <v>44183</v>
      </c>
      <c r="DV5" s="8">
        <f t="shared" si="77"/>
        <v>44184</v>
      </c>
      <c r="DW5" s="9">
        <f t="shared" si="77"/>
        <v>44185</v>
      </c>
      <c r="DX5" s="9">
        <f t="shared" ref="DX5" si="78">DW5+1</f>
        <v>44186</v>
      </c>
      <c r="DY5" s="9">
        <f t="shared" ref="DY5" si="79">DX5+1</f>
        <v>44187</v>
      </c>
      <c r="DZ5" s="9">
        <f t="shared" ref="DZ5:EA5" si="80">DY5+1</f>
        <v>44188</v>
      </c>
      <c r="EA5" s="9">
        <f t="shared" si="80"/>
        <v>44189</v>
      </c>
      <c r="EB5" s="9">
        <f t="shared" ref="EB5" si="81">EA5+1</f>
        <v>44190</v>
      </c>
      <c r="EC5" s="9">
        <f t="shared" ref="EC5" si="82">EB5+1</f>
        <v>44191</v>
      </c>
      <c r="ED5" s="9">
        <f t="shared" ref="ED5" si="83">EC5+1</f>
        <v>44192</v>
      </c>
      <c r="EE5" s="9">
        <f t="shared" ref="EE5" si="84">ED5+1</f>
        <v>44193</v>
      </c>
      <c r="EF5" s="10">
        <f t="shared" ref="EF5:EH5" si="85">EE5+1</f>
        <v>44194</v>
      </c>
      <c r="EG5" s="8">
        <f t="shared" si="85"/>
        <v>44195</v>
      </c>
      <c r="EH5" s="9">
        <f t="shared" si="85"/>
        <v>44196</v>
      </c>
      <c r="EI5" s="9">
        <f t="shared" ref="EI5" si="86">EH5+1</f>
        <v>44197</v>
      </c>
      <c r="EJ5" s="9">
        <f t="shared" ref="EJ5" si="87">EI5+1</f>
        <v>44198</v>
      </c>
      <c r="EK5" s="9">
        <f t="shared" ref="EK5:EL5" si="88">EJ5+1</f>
        <v>44199</v>
      </c>
      <c r="EL5" s="9">
        <f t="shared" si="88"/>
        <v>44200</v>
      </c>
      <c r="EM5" s="9">
        <f t="shared" ref="EM5" si="89">EL5+1</f>
        <v>44201</v>
      </c>
      <c r="EN5" s="9">
        <f t="shared" ref="EN5" si="90">EM5+1</f>
        <v>44202</v>
      </c>
      <c r="EO5" s="9">
        <f t="shared" ref="EO5" si="91">EN5+1</f>
        <v>44203</v>
      </c>
      <c r="EP5" s="9">
        <f t="shared" ref="EP5" si="92">EO5+1</f>
        <v>44204</v>
      </c>
      <c r="EQ5" s="10">
        <f t="shared" ref="EQ5:ES5" si="93">EP5+1</f>
        <v>44205</v>
      </c>
      <c r="ER5" s="8">
        <f t="shared" si="93"/>
        <v>44206</v>
      </c>
      <c r="ES5" s="9">
        <f t="shared" si="93"/>
        <v>44207</v>
      </c>
      <c r="ET5" s="9">
        <f t="shared" ref="ET5" si="94">ES5+1</f>
        <v>44208</v>
      </c>
      <c r="EU5" s="9">
        <f t="shared" ref="EU5" si="95">ET5+1</f>
        <v>44209</v>
      </c>
      <c r="EV5" s="9">
        <f t="shared" ref="EV5:EW5" si="96">EU5+1</f>
        <v>44210</v>
      </c>
      <c r="EW5" s="9">
        <f t="shared" si="96"/>
        <v>44211</v>
      </c>
      <c r="EX5" s="9">
        <f t="shared" ref="EX5" si="97">EW5+1</f>
        <v>44212</v>
      </c>
      <c r="EY5" s="9">
        <f t="shared" ref="EY5" si="98">EX5+1</f>
        <v>44213</v>
      </c>
      <c r="EZ5" s="9">
        <f t="shared" ref="EZ5" si="99">EY5+1</f>
        <v>44214</v>
      </c>
      <c r="FA5" s="9">
        <f t="shared" ref="FA5" si="100">EZ5+1</f>
        <v>44215</v>
      </c>
      <c r="FB5" s="10">
        <f t="shared" ref="FB5:FD5" si="101">FA5+1</f>
        <v>44216</v>
      </c>
      <c r="FC5" s="8">
        <f t="shared" si="101"/>
        <v>44217</v>
      </c>
      <c r="FD5" s="9">
        <f t="shared" si="101"/>
        <v>44218</v>
      </c>
      <c r="FE5" s="9">
        <f t="shared" ref="FE5" si="102">FD5+1</f>
        <v>44219</v>
      </c>
      <c r="FF5" s="9">
        <f t="shared" ref="FF5" si="103">FE5+1</f>
        <v>44220</v>
      </c>
      <c r="FG5" s="9">
        <f t="shared" ref="FG5:FH5" si="104">FF5+1</f>
        <v>44221</v>
      </c>
      <c r="FH5" s="9">
        <f t="shared" si="104"/>
        <v>44222</v>
      </c>
      <c r="FI5" s="9">
        <f t="shared" ref="FI5" si="105">FH5+1</f>
        <v>44223</v>
      </c>
      <c r="FJ5" s="9">
        <f t="shared" ref="FJ5" si="106">FI5+1</f>
        <v>44224</v>
      </c>
      <c r="FK5" s="9">
        <f t="shared" ref="FK5" si="107">FJ5+1</f>
        <v>44225</v>
      </c>
      <c r="FL5" s="9">
        <f t="shared" ref="FL5" si="108">FK5+1</f>
        <v>44226</v>
      </c>
      <c r="FM5" s="10">
        <f t="shared" ref="FM5:FO5" si="109">FL5+1</f>
        <v>44227</v>
      </c>
      <c r="FN5" s="8">
        <f t="shared" si="109"/>
        <v>44228</v>
      </c>
      <c r="FO5" s="9">
        <f t="shared" si="109"/>
        <v>44229</v>
      </c>
      <c r="FP5" s="9">
        <f t="shared" ref="FP5" si="110">FO5+1</f>
        <v>44230</v>
      </c>
      <c r="FQ5" s="9">
        <f t="shared" ref="FQ5" si="111">FP5+1</f>
        <v>44231</v>
      </c>
      <c r="FR5" s="9">
        <f t="shared" ref="FR5:FS5" si="112">FQ5+1</f>
        <v>44232</v>
      </c>
      <c r="FS5" s="9">
        <f t="shared" si="112"/>
        <v>44233</v>
      </c>
      <c r="FT5" s="9">
        <f t="shared" ref="FT5" si="113">FS5+1</f>
        <v>44234</v>
      </c>
      <c r="FU5" s="9">
        <f t="shared" ref="FU5" si="114">FT5+1</f>
        <v>44235</v>
      </c>
      <c r="FV5" s="9">
        <f t="shared" ref="FV5" si="115">FU5+1</f>
        <v>44236</v>
      </c>
      <c r="FW5" s="9">
        <f t="shared" ref="FW5" si="116">FV5+1</f>
        <v>44237</v>
      </c>
      <c r="FX5" s="10">
        <f t="shared" ref="FX5:FZ5" si="117">FW5+1</f>
        <v>44238</v>
      </c>
      <c r="FY5" s="8">
        <f t="shared" si="117"/>
        <v>44239</v>
      </c>
      <c r="FZ5" s="9">
        <f t="shared" si="117"/>
        <v>44240</v>
      </c>
      <c r="GA5" s="9">
        <f t="shared" ref="GA5" si="118">FZ5+1</f>
        <v>44241</v>
      </c>
      <c r="GB5" s="9">
        <f t="shared" ref="GB5" si="119">GA5+1</f>
        <v>44242</v>
      </c>
      <c r="GC5" s="9">
        <f t="shared" ref="GC5:GD5" si="120">GB5+1</f>
        <v>44243</v>
      </c>
      <c r="GD5" s="9">
        <f t="shared" si="120"/>
        <v>44244</v>
      </c>
      <c r="GE5" s="9">
        <f t="shared" ref="GE5" si="121">GD5+1</f>
        <v>44245</v>
      </c>
      <c r="GF5" s="9">
        <f t="shared" ref="GF5" si="122">GE5+1</f>
        <v>44246</v>
      </c>
      <c r="GG5" s="9">
        <f t="shared" ref="GG5" si="123">GF5+1</f>
        <v>44247</v>
      </c>
      <c r="GH5" s="9">
        <f t="shared" ref="GH5" si="124">GG5+1</f>
        <v>44248</v>
      </c>
      <c r="GI5" s="10">
        <f t="shared" ref="GI5:GK5" si="125">GH5+1</f>
        <v>44249</v>
      </c>
      <c r="GJ5" s="8">
        <f t="shared" si="125"/>
        <v>44250</v>
      </c>
      <c r="GK5" s="9">
        <f t="shared" si="125"/>
        <v>44251</v>
      </c>
      <c r="GL5" s="9">
        <f t="shared" ref="GL5" si="126">GK5+1</f>
        <v>44252</v>
      </c>
      <c r="GM5" s="9">
        <f t="shared" ref="GM5" si="127">GL5+1</f>
        <v>44253</v>
      </c>
      <c r="GN5" s="9">
        <f t="shared" ref="GN5:GO5" si="128">GM5+1</f>
        <v>44254</v>
      </c>
      <c r="GO5" s="9">
        <f t="shared" si="128"/>
        <v>44255</v>
      </c>
      <c r="GP5" s="9">
        <f t="shared" ref="GP5" si="129">GO5+1</f>
        <v>44256</v>
      </c>
      <c r="GQ5" s="9">
        <f t="shared" ref="GQ5" si="130">GP5+1</f>
        <v>44257</v>
      </c>
      <c r="GR5" s="9">
        <f t="shared" ref="GR5" si="131">GQ5+1</f>
        <v>44258</v>
      </c>
      <c r="GS5" s="9">
        <f t="shared" ref="GS5" si="132">GR5+1</f>
        <v>44259</v>
      </c>
      <c r="GT5" s="10">
        <f t="shared" ref="GT5:GV5" si="133">GS5+1</f>
        <v>44260</v>
      </c>
      <c r="GU5" s="8">
        <f t="shared" si="133"/>
        <v>44261</v>
      </c>
      <c r="GV5" s="9">
        <f t="shared" si="133"/>
        <v>44262</v>
      </c>
      <c r="GW5" s="9">
        <f t="shared" ref="GW5" si="134">GV5+1</f>
        <v>44263</v>
      </c>
      <c r="GX5" s="9">
        <f t="shared" ref="GX5" si="135">GW5+1</f>
        <v>44264</v>
      </c>
      <c r="GY5" s="9">
        <f t="shared" ref="GY5:GZ5" si="136">GX5+1</f>
        <v>44265</v>
      </c>
      <c r="GZ5" s="9">
        <f t="shared" si="136"/>
        <v>44266</v>
      </c>
      <c r="HA5" s="9">
        <f t="shared" ref="HA5" si="137">GZ5+1</f>
        <v>44267</v>
      </c>
      <c r="HB5" s="9">
        <f t="shared" ref="HB5" si="138">HA5+1</f>
        <v>44268</v>
      </c>
      <c r="HC5" s="9">
        <f t="shared" ref="HC5" si="139">HB5+1</f>
        <v>44269</v>
      </c>
      <c r="HD5" s="9">
        <f t="shared" ref="HD5" si="140">HC5+1</f>
        <v>44270</v>
      </c>
      <c r="HE5" s="10">
        <f t="shared" ref="HE5:HG5" si="141">HD5+1</f>
        <v>44271</v>
      </c>
      <c r="HF5" s="8">
        <f t="shared" si="141"/>
        <v>44272</v>
      </c>
      <c r="HG5" s="9">
        <f t="shared" si="141"/>
        <v>44273</v>
      </c>
      <c r="HH5" s="9">
        <f t="shared" ref="HH5" si="142">HG5+1</f>
        <v>44274</v>
      </c>
      <c r="HI5" s="9">
        <f t="shared" ref="HI5" si="143">HH5+1</f>
        <v>44275</v>
      </c>
      <c r="HJ5" s="9">
        <f t="shared" ref="HJ5:HK5" si="144">HI5+1</f>
        <v>44276</v>
      </c>
      <c r="HK5" s="9">
        <f t="shared" si="144"/>
        <v>44277</v>
      </c>
      <c r="HL5" s="9">
        <f t="shared" ref="HL5" si="145">HK5+1</f>
        <v>44278</v>
      </c>
      <c r="HM5" s="9">
        <f t="shared" ref="HM5" si="146">HL5+1</f>
        <v>44279</v>
      </c>
      <c r="HN5" s="9">
        <f t="shared" ref="HN5" si="147">HM5+1</f>
        <v>44280</v>
      </c>
      <c r="HO5" s="9">
        <f t="shared" ref="HO5" si="148">HN5+1</f>
        <v>44281</v>
      </c>
      <c r="HP5" s="10">
        <f t="shared" ref="HP5:HR5" si="149">HO5+1</f>
        <v>44282</v>
      </c>
      <c r="HQ5" s="8">
        <f t="shared" si="149"/>
        <v>44283</v>
      </c>
      <c r="HR5" s="9">
        <f t="shared" si="149"/>
        <v>44284</v>
      </c>
      <c r="HS5" s="9">
        <f t="shared" ref="HS5" si="150">HR5+1</f>
        <v>44285</v>
      </c>
      <c r="HT5" s="9">
        <f t="shared" ref="HT5" si="151">HS5+1</f>
        <v>44286</v>
      </c>
      <c r="HU5" s="9">
        <f t="shared" ref="HU5:HV5" si="152">HT5+1</f>
        <v>44287</v>
      </c>
      <c r="HV5" s="9">
        <f t="shared" si="152"/>
        <v>44288</v>
      </c>
      <c r="HW5" s="9">
        <f t="shared" ref="HW5" si="153">HV5+1</f>
        <v>44289</v>
      </c>
      <c r="HX5" s="9">
        <f t="shared" ref="HX5" si="154">HW5+1</f>
        <v>44290</v>
      </c>
      <c r="HY5" s="9">
        <f t="shared" ref="HY5" si="155">HX5+1</f>
        <v>44291</v>
      </c>
      <c r="HZ5" s="9">
        <f t="shared" ref="HZ5" si="156">HY5+1</f>
        <v>44292</v>
      </c>
      <c r="IA5" s="10">
        <f t="shared" ref="IA5:IC5" si="157">HZ5+1</f>
        <v>44293</v>
      </c>
      <c r="IB5" s="8">
        <f t="shared" si="157"/>
        <v>44294</v>
      </c>
      <c r="IC5" s="9">
        <f t="shared" si="157"/>
        <v>44295</v>
      </c>
      <c r="ID5" s="9">
        <f t="shared" ref="ID5" si="158">IC5+1</f>
        <v>44296</v>
      </c>
      <c r="IE5" s="9">
        <f t="shared" ref="IE5" si="159">ID5+1</f>
        <v>44297</v>
      </c>
      <c r="IF5" s="9">
        <f t="shared" ref="IF5:IG5" si="160">IE5+1</f>
        <v>44298</v>
      </c>
      <c r="IG5" s="9">
        <f t="shared" si="160"/>
        <v>44299</v>
      </c>
      <c r="IH5" s="9">
        <f t="shared" ref="IH5" si="161">IG5+1</f>
        <v>44300</v>
      </c>
      <c r="II5" s="9">
        <f t="shared" ref="II5" si="162">IH5+1</f>
        <v>44301</v>
      </c>
      <c r="IJ5" s="9">
        <f t="shared" ref="IJ5" si="163">II5+1</f>
        <v>44302</v>
      </c>
      <c r="IK5" s="9">
        <f t="shared" ref="IK5" si="164">IJ5+1</f>
        <v>44303</v>
      </c>
      <c r="IL5" s="10">
        <f t="shared" ref="IL5:IN5" si="165">IK5+1</f>
        <v>44304</v>
      </c>
      <c r="IM5" s="8">
        <f t="shared" si="165"/>
        <v>44305</v>
      </c>
      <c r="IN5" s="9">
        <f t="shared" si="165"/>
        <v>44306</v>
      </c>
      <c r="IO5" s="9">
        <f t="shared" ref="IO5" si="166">IN5+1</f>
        <v>44307</v>
      </c>
      <c r="IP5" s="9">
        <f t="shared" ref="IP5" si="167">IO5+1</f>
        <v>44308</v>
      </c>
      <c r="IQ5" s="9">
        <f t="shared" ref="IQ5:IR5" si="168">IP5+1</f>
        <v>44309</v>
      </c>
      <c r="IR5" s="9">
        <f t="shared" si="168"/>
        <v>44310</v>
      </c>
      <c r="IS5" s="9">
        <f t="shared" ref="IS5" si="169">IR5+1</f>
        <v>44311</v>
      </c>
      <c r="IT5" s="9">
        <f t="shared" ref="IT5" si="170">IS5+1</f>
        <v>44312</v>
      </c>
      <c r="IU5" s="9">
        <f t="shared" ref="IU5" si="171">IT5+1</f>
        <v>44313</v>
      </c>
      <c r="IV5" s="9">
        <f t="shared" ref="IV5" si="172">IU5+1</f>
        <v>44314</v>
      </c>
      <c r="IW5" s="10">
        <f t="shared" ref="IW5:IY5" si="173">IV5+1</f>
        <v>44315</v>
      </c>
      <c r="IX5" s="8">
        <f t="shared" si="173"/>
        <v>44316</v>
      </c>
      <c r="IY5" s="9">
        <f t="shared" si="173"/>
        <v>44317</v>
      </c>
      <c r="IZ5" s="9">
        <f t="shared" ref="IZ5" si="174">IY5+1</f>
        <v>44318</v>
      </c>
      <c r="JA5" s="9">
        <f t="shared" ref="JA5" si="175">IZ5+1</f>
        <v>44319</v>
      </c>
      <c r="JB5" s="9">
        <f t="shared" ref="JB5:JC5" si="176">JA5+1</f>
        <v>44320</v>
      </c>
      <c r="JC5" s="9">
        <f t="shared" si="176"/>
        <v>44321</v>
      </c>
      <c r="JD5" s="9">
        <f t="shared" ref="JD5" si="177">JC5+1</f>
        <v>44322</v>
      </c>
      <c r="JE5" s="9">
        <f t="shared" ref="JE5" si="178">JD5+1</f>
        <v>44323</v>
      </c>
      <c r="JF5" s="9">
        <f t="shared" ref="JF5" si="179">JE5+1</f>
        <v>44324</v>
      </c>
      <c r="JG5" s="9">
        <f t="shared" ref="JG5" si="180">JF5+1</f>
        <v>44325</v>
      </c>
      <c r="JH5" s="10">
        <f t="shared" ref="JH5:JJ5" si="181">JG5+1</f>
        <v>44326</v>
      </c>
      <c r="JI5" s="8">
        <f t="shared" si="181"/>
        <v>44327</v>
      </c>
      <c r="JJ5" s="9">
        <f t="shared" si="181"/>
        <v>44328</v>
      </c>
      <c r="JK5" s="9">
        <f t="shared" ref="JK5" si="182">JJ5+1</f>
        <v>44329</v>
      </c>
      <c r="JL5" s="9">
        <f t="shared" ref="JL5" si="183">JK5+1</f>
        <v>44330</v>
      </c>
      <c r="JM5" s="9">
        <f t="shared" ref="JM5:JN5" si="184">JL5+1</f>
        <v>44331</v>
      </c>
      <c r="JN5" s="9">
        <f t="shared" si="184"/>
        <v>44332</v>
      </c>
    </row>
    <row r="6" spans="1:274" ht="30" customHeight="1" thickBot="1" x14ac:dyDescent="0.4">
      <c r="A6" s="22" t="s">
        <v>4</v>
      </c>
      <c r="B6" s="1" t="s">
        <v>6</v>
      </c>
      <c r="C6" s="2" t="s">
        <v>9</v>
      </c>
      <c r="D6" s="2" t="s">
        <v>10</v>
      </c>
      <c r="E6" s="2" t="s">
        <v>11</v>
      </c>
      <c r="F6" s="2" t="s">
        <v>12</v>
      </c>
      <c r="G6" s="2"/>
      <c r="H6" s="2" t="s">
        <v>13</v>
      </c>
      <c r="I6" s="3" t="str">
        <f t="shared" ref="I6" si="185">LEFT(TEXT(I5,"ddd"),1)</f>
        <v>l</v>
      </c>
      <c r="J6" s="3" t="str">
        <f t="shared" ref="J6:AR6" si="186">LEFT(TEXT(J5,"ddd"),1)</f>
        <v>m</v>
      </c>
      <c r="K6" s="3" t="str">
        <f t="shared" si="186"/>
        <v>m</v>
      </c>
      <c r="L6" s="3" t="str">
        <f t="shared" si="186"/>
        <v>j</v>
      </c>
      <c r="M6" s="3" t="str">
        <f t="shared" si="186"/>
        <v>v</v>
      </c>
      <c r="N6" s="3" t="str">
        <f t="shared" si="186"/>
        <v>s</v>
      </c>
      <c r="O6" s="3" t="str">
        <f t="shared" si="186"/>
        <v>d</v>
      </c>
      <c r="P6" s="3" t="str">
        <f t="shared" si="186"/>
        <v>l</v>
      </c>
      <c r="Q6" s="3" t="str">
        <f t="shared" si="186"/>
        <v>m</v>
      </c>
      <c r="R6" s="3" t="str">
        <f t="shared" si="186"/>
        <v>m</v>
      </c>
      <c r="S6" s="3" t="str">
        <f t="shared" si="186"/>
        <v>j</v>
      </c>
      <c r="T6" s="3" t="str">
        <f t="shared" si="186"/>
        <v>v</v>
      </c>
      <c r="U6" s="3" t="str">
        <f t="shared" si="186"/>
        <v>s</v>
      </c>
      <c r="V6" s="3" t="str">
        <f t="shared" si="186"/>
        <v>d</v>
      </c>
      <c r="W6" s="3" t="str">
        <f t="shared" si="186"/>
        <v>l</v>
      </c>
      <c r="X6" s="3" t="str">
        <f t="shared" si="186"/>
        <v>m</v>
      </c>
      <c r="Y6" s="3" t="str">
        <f t="shared" si="186"/>
        <v>m</v>
      </c>
      <c r="Z6" s="3" t="str">
        <f t="shared" si="186"/>
        <v>j</v>
      </c>
      <c r="AA6" s="3" t="str">
        <f t="shared" si="186"/>
        <v>v</v>
      </c>
      <c r="AB6" s="3" t="str">
        <f t="shared" si="186"/>
        <v>s</v>
      </c>
      <c r="AC6" s="3" t="str">
        <f t="shared" si="186"/>
        <v>d</v>
      </c>
      <c r="AD6" s="3" t="str">
        <f t="shared" si="186"/>
        <v>l</v>
      </c>
      <c r="AE6" s="3" t="str">
        <f t="shared" si="186"/>
        <v>m</v>
      </c>
      <c r="AF6" s="3" t="str">
        <f t="shared" si="186"/>
        <v>m</v>
      </c>
      <c r="AG6" s="3" t="str">
        <f t="shared" si="186"/>
        <v>j</v>
      </c>
      <c r="AH6" s="3" t="str">
        <f t="shared" si="186"/>
        <v>v</v>
      </c>
      <c r="AI6" s="3" t="str">
        <f t="shared" si="186"/>
        <v>s</v>
      </c>
      <c r="AJ6" s="3" t="str">
        <f t="shared" si="186"/>
        <v>d</v>
      </c>
      <c r="AK6" s="3" t="str">
        <f t="shared" si="186"/>
        <v>l</v>
      </c>
      <c r="AL6" s="3" t="str">
        <f t="shared" si="186"/>
        <v>m</v>
      </c>
      <c r="AM6" s="3" t="str">
        <f t="shared" si="186"/>
        <v>m</v>
      </c>
      <c r="AN6" s="3" t="str">
        <f t="shared" si="186"/>
        <v>j</v>
      </c>
      <c r="AO6" s="3" t="str">
        <f t="shared" si="186"/>
        <v>v</v>
      </c>
      <c r="AP6" s="3" t="str">
        <f t="shared" si="186"/>
        <v>s</v>
      </c>
      <c r="AQ6" s="3" t="str">
        <f t="shared" si="186"/>
        <v>d</v>
      </c>
      <c r="AR6" s="3" t="str">
        <f t="shared" si="186"/>
        <v>l</v>
      </c>
      <c r="AS6" s="3" t="str">
        <f t="shared" ref="AS6:JN6" si="187">LEFT(TEXT(AS5,"ddd"),1)</f>
        <v>m</v>
      </c>
      <c r="AT6" s="3" t="str">
        <f t="shared" si="187"/>
        <v>m</v>
      </c>
      <c r="AU6" s="3" t="str">
        <f t="shared" si="187"/>
        <v>j</v>
      </c>
      <c r="AV6" s="3" t="str">
        <f t="shared" si="187"/>
        <v>v</v>
      </c>
      <c r="AW6" s="3" t="str">
        <f t="shared" si="187"/>
        <v>s</v>
      </c>
      <c r="AX6" s="3" t="str">
        <f t="shared" si="187"/>
        <v>d</v>
      </c>
      <c r="AY6" s="3" t="str">
        <f t="shared" si="187"/>
        <v>l</v>
      </c>
      <c r="AZ6" s="3" t="str">
        <f t="shared" si="187"/>
        <v>m</v>
      </c>
      <c r="BA6" s="3" t="str">
        <f t="shared" si="187"/>
        <v>m</v>
      </c>
      <c r="BB6" s="3" t="str">
        <f t="shared" si="187"/>
        <v>j</v>
      </c>
      <c r="BC6" s="3" t="str">
        <f t="shared" si="187"/>
        <v>v</v>
      </c>
      <c r="BD6" s="3" t="str">
        <f t="shared" si="187"/>
        <v>s</v>
      </c>
      <c r="BE6" s="3" t="str">
        <f t="shared" si="187"/>
        <v>d</v>
      </c>
      <c r="BF6" s="3" t="str">
        <f t="shared" si="187"/>
        <v>l</v>
      </c>
      <c r="BG6" s="3" t="str">
        <f t="shared" si="187"/>
        <v>m</v>
      </c>
      <c r="BH6" s="3" t="str">
        <f t="shared" si="187"/>
        <v>m</v>
      </c>
      <c r="BI6" s="3" t="str">
        <f t="shared" si="187"/>
        <v>j</v>
      </c>
      <c r="BJ6" s="3" t="str">
        <f t="shared" si="187"/>
        <v>v</v>
      </c>
      <c r="BK6" s="3" t="str">
        <f t="shared" si="187"/>
        <v>s</v>
      </c>
      <c r="BL6" s="3" t="str">
        <f t="shared" si="187"/>
        <v>d</v>
      </c>
      <c r="BM6" s="3" t="str">
        <f t="shared" ref="BM6:BS6" si="188">LEFT(TEXT(BM5,"ddd"),1)</f>
        <v>l</v>
      </c>
      <c r="BN6" s="3" t="str">
        <f t="shared" si="188"/>
        <v>m</v>
      </c>
      <c r="BO6" s="3" t="str">
        <f t="shared" si="188"/>
        <v>m</v>
      </c>
      <c r="BP6" s="3" t="str">
        <f t="shared" si="188"/>
        <v>j</v>
      </c>
      <c r="BQ6" s="3" t="str">
        <f t="shared" si="188"/>
        <v>v</v>
      </c>
      <c r="BR6" s="3" t="str">
        <f t="shared" si="188"/>
        <v>s</v>
      </c>
      <c r="BS6" s="3" t="str">
        <f t="shared" si="188"/>
        <v>d</v>
      </c>
      <c r="BT6" s="3" t="str">
        <f t="shared" si="187"/>
        <v>l</v>
      </c>
      <c r="BU6" s="3" t="str">
        <f t="shared" si="187"/>
        <v>m</v>
      </c>
      <c r="BV6" s="3" t="str">
        <f t="shared" si="187"/>
        <v>m</v>
      </c>
      <c r="BW6" s="3" t="str">
        <f t="shared" si="187"/>
        <v>j</v>
      </c>
      <c r="BX6" s="3" t="str">
        <f t="shared" si="187"/>
        <v>v</v>
      </c>
      <c r="BY6" s="3" t="str">
        <f t="shared" si="187"/>
        <v>s</v>
      </c>
      <c r="BZ6" s="3" t="str">
        <f t="shared" si="187"/>
        <v>d</v>
      </c>
      <c r="CA6" s="3" t="str">
        <f t="shared" ref="CA6:CG6" si="189">LEFT(TEXT(CA5,"ddd"),1)</f>
        <v>l</v>
      </c>
      <c r="CB6" s="3" t="str">
        <f t="shared" si="189"/>
        <v>m</v>
      </c>
      <c r="CC6" s="3" t="str">
        <f t="shared" si="189"/>
        <v>m</v>
      </c>
      <c r="CD6" s="3" t="str">
        <f t="shared" si="189"/>
        <v>j</v>
      </c>
      <c r="CE6" s="3" t="str">
        <f t="shared" si="189"/>
        <v>v</v>
      </c>
      <c r="CF6" s="3" t="str">
        <f t="shared" si="189"/>
        <v>s</v>
      </c>
      <c r="CG6" s="3" t="str">
        <f t="shared" si="189"/>
        <v>d</v>
      </c>
      <c r="CH6" s="3" t="str">
        <f t="shared" si="187"/>
        <v>l</v>
      </c>
      <c r="CI6" s="3" t="str">
        <f t="shared" si="187"/>
        <v>m</v>
      </c>
      <c r="CJ6" s="3" t="str">
        <f t="shared" si="187"/>
        <v>m</v>
      </c>
      <c r="CK6" s="3" t="str">
        <f t="shared" si="187"/>
        <v>j</v>
      </c>
      <c r="CL6" s="3" t="str">
        <f t="shared" si="187"/>
        <v>v</v>
      </c>
      <c r="CM6" s="3" t="str">
        <f t="shared" si="187"/>
        <v>s</v>
      </c>
      <c r="CN6" s="3" t="str">
        <f t="shared" si="187"/>
        <v>d</v>
      </c>
      <c r="CO6" s="3" t="str">
        <f t="shared" ref="CO6:CU6" si="190">LEFT(TEXT(CO5,"ddd"),1)</f>
        <v>l</v>
      </c>
      <c r="CP6" s="3" t="str">
        <f t="shared" si="190"/>
        <v>m</v>
      </c>
      <c r="CQ6" s="3" t="str">
        <f t="shared" si="190"/>
        <v>m</v>
      </c>
      <c r="CR6" s="3" t="str">
        <f t="shared" si="190"/>
        <v>j</v>
      </c>
      <c r="CS6" s="3" t="str">
        <f t="shared" si="190"/>
        <v>v</v>
      </c>
      <c r="CT6" s="3" t="str">
        <f t="shared" si="190"/>
        <v>s</v>
      </c>
      <c r="CU6" s="3" t="str">
        <f t="shared" si="190"/>
        <v>d</v>
      </c>
      <c r="CV6" s="3" t="str">
        <f t="shared" si="187"/>
        <v>l</v>
      </c>
      <c r="CW6" s="3" t="str">
        <f t="shared" si="187"/>
        <v>m</v>
      </c>
      <c r="CX6" s="3" t="str">
        <f t="shared" si="187"/>
        <v>m</v>
      </c>
      <c r="CY6" s="3" t="str">
        <f t="shared" si="187"/>
        <v>j</v>
      </c>
      <c r="CZ6" s="3" t="str">
        <f t="shared" si="187"/>
        <v>v</v>
      </c>
      <c r="DA6" s="3" t="str">
        <f t="shared" si="187"/>
        <v>s</v>
      </c>
      <c r="DB6" s="3" t="str">
        <f t="shared" si="187"/>
        <v>d</v>
      </c>
      <c r="DC6" s="3" t="str">
        <f t="shared" ref="DC6:DI6" si="191">LEFT(TEXT(DC5,"ddd"),1)</f>
        <v>l</v>
      </c>
      <c r="DD6" s="3" t="str">
        <f t="shared" si="191"/>
        <v>m</v>
      </c>
      <c r="DE6" s="3" t="str">
        <f t="shared" si="191"/>
        <v>m</v>
      </c>
      <c r="DF6" s="3" t="str">
        <f t="shared" si="191"/>
        <v>j</v>
      </c>
      <c r="DG6" s="3" t="str">
        <f t="shared" si="191"/>
        <v>v</v>
      </c>
      <c r="DH6" s="3" t="str">
        <f t="shared" si="191"/>
        <v>s</v>
      </c>
      <c r="DI6" s="3" t="str">
        <f t="shared" si="191"/>
        <v>d</v>
      </c>
      <c r="DJ6" s="3" t="str">
        <f t="shared" si="187"/>
        <v>l</v>
      </c>
      <c r="DK6" s="3" t="str">
        <f t="shared" si="187"/>
        <v>m</v>
      </c>
      <c r="DL6" s="3" t="str">
        <f t="shared" si="187"/>
        <v>m</v>
      </c>
      <c r="DM6" s="3" t="str">
        <f t="shared" si="187"/>
        <v>j</v>
      </c>
      <c r="DN6" s="3" t="str">
        <f t="shared" si="187"/>
        <v>v</v>
      </c>
      <c r="DO6" s="3" t="str">
        <f t="shared" si="187"/>
        <v>s</v>
      </c>
      <c r="DP6" s="3" t="str">
        <f t="shared" si="187"/>
        <v>d</v>
      </c>
      <c r="DQ6" s="3" t="str">
        <f t="shared" ref="DQ6:DW6" si="192">LEFT(TEXT(DQ5,"ddd"),1)</f>
        <v>l</v>
      </c>
      <c r="DR6" s="3" t="str">
        <f t="shared" si="192"/>
        <v>m</v>
      </c>
      <c r="DS6" s="3" t="str">
        <f t="shared" si="192"/>
        <v>m</v>
      </c>
      <c r="DT6" s="3" t="str">
        <f t="shared" si="192"/>
        <v>j</v>
      </c>
      <c r="DU6" s="3" t="str">
        <f t="shared" si="192"/>
        <v>v</v>
      </c>
      <c r="DV6" s="3" t="str">
        <f t="shared" si="192"/>
        <v>s</v>
      </c>
      <c r="DW6" s="3" t="str">
        <f t="shared" si="192"/>
        <v>d</v>
      </c>
      <c r="DX6" s="3" t="str">
        <f t="shared" si="187"/>
        <v>l</v>
      </c>
      <c r="DY6" s="3" t="str">
        <f t="shared" si="187"/>
        <v>m</v>
      </c>
      <c r="DZ6" s="3" t="str">
        <f t="shared" si="187"/>
        <v>m</v>
      </c>
      <c r="EA6" s="3" t="str">
        <f t="shared" si="187"/>
        <v>j</v>
      </c>
      <c r="EB6" s="3" t="str">
        <f t="shared" si="187"/>
        <v>v</v>
      </c>
      <c r="EC6" s="3" t="str">
        <f t="shared" si="187"/>
        <v>s</v>
      </c>
      <c r="ED6" s="3" t="str">
        <f t="shared" si="187"/>
        <v>d</v>
      </c>
      <c r="EE6" s="3" t="str">
        <f t="shared" ref="EE6:EK6" si="193">LEFT(TEXT(EE5,"ddd"),1)</f>
        <v>l</v>
      </c>
      <c r="EF6" s="3" t="str">
        <f t="shared" si="193"/>
        <v>m</v>
      </c>
      <c r="EG6" s="3" t="str">
        <f t="shared" si="193"/>
        <v>m</v>
      </c>
      <c r="EH6" s="3" t="str">
        <f t="shared" si="193"/>
        <v>j</v>
      </c>
      <c r="EI6" s="3" t="str">
        <f t="shared" si="193"/>
        <v>v</v>
      </c>
      <c r="EJ6" s="3" t="str">
        <f t="shared" si="193"/>
        <v>s</v>
      </c>
      <c r="EK6" s="3" t="str">
        <f t="shared" si="193"/>
        <v>d</v>
      </c>
      <c r="EL6" s="3" t="str">
        <f t="shared" si="187"/>
        <v>l</v>
      </c>
      <c r="EM6" s="3" t="str">
        <f t="shared" si="187"/>
        <v>m</v>
      </c>
      <c r="EN6" s="3" t="str">
        <f t="shared" si="187"/>
        <v>m</v>
      </c>
      <c r="EO6" s="3" t="str">
        <f t="shared" si="187"/>
        <v>j</v>
      </c>
      <c r="EP6" s="3" t="str">
        <f t="shared" si="187"/>
        <v>v</v>
      </c>
      <c r="EQ6" s="3" t="str">
        <f t="shared" si="187"/>
        <v>s</v>
      </c>
      <c r="ER6" s="3" t="str">
        <f t="shared" si="187"/>
        <v>d</v>
      </c>
      <c r="ES6" s="3" t="str">
        <f t="shared" ref="ES6:EY6" si="194">LEFT(TEXT(ES5,"ddd"),1)</f>
        <v>l</v>
      </c>
      <c r="ET6" s="3" t="str">
        <f t="shared" si="194"/>
        <v>m</v>
      </c>
      <c r="EU6" s="3" t="str">
        <f t="shared" si="194"/>
        <v>m</v>
      </c>
      <c r="EV6" s="3" t="str">
        <f t="shared" si="194"/>
        <v>j</v>
      </c>
      <c r="EW6" s="3" t="str">
        <f t="shared" si="194"/>
        <v>v</v>
      </c>
      <c r="EX6" s="3" t="str">
        <f t="shared" si="194"/>
        <v>s</v>
      </c>
      <c r="EY6" s="3" t="str">
        <f t="shared" si="194"/>
        <v>d</v>
      </c>
      <c r="EZ6" s="3" t="str">
        <f t="shared" si="187"/>
        <v>l</v>
      </c>
      <c r="FA6" s="3" t="str">
        <f t="shared" si="187"/>
        <v>m</v>
      </c>
      <c r="FB6" s="3" t="str">
        <f t="shared" si="187"/>
        <v>m</v>
      </c>
      <c r="FC6" s="3" t="str">
        <f t="shared" si="187"/>
        <v>j</v>
      </c>
      <c r="FD6" s="3" t="str">
        <f t="shared" si="187"/>
        <v>v</v>
      </c>
      <c r="FE6" s="3" t="str">
        <f t="shared" si="187"/>
        <v>s</v>
      </c>
      <c r="FF6" s="3" t="str">
        <f t="shared" si="187"/>
        <v>d</v>
      </c>
      <c r="FG6" s="3" t="str">
        <f t="shared" ref="FG6:FM6" si="195">LEFT(TEXT(FG5,"ddd"),1)</f>
        <v>l</v>
      </c>
      <c r="FH6" s="3" t="str">
        <f t="shared" si="195"/>
        <v>m</v>
      </c>
      <c r="FI6" s="3" t="str">
        <f t="shared" si="195"/>
        <v>m</v>
      </c>
      <c r="FJ6" s="3" t="str">
        <f t="shared" si="195"/>
        <v>j</v>
      </c>
      <c r="FK6" s="3" t="str">
        <f t="shared" si="195"/>
        <v>v</v>
      </c>
      <c r="FL6" s="3" t="str">
        <f t="shared" si="195"/>
        <v>s</v>
      </c>
      <c r="FM6" s="3" t="str">
        <f t="shared" si="195"/>
        <v>d</v>
      </c>
      <c r="FN6" s="3" t="str">
        <f t="shared" si="187"/>
        <v>l</v>
      </c>
      <c r="FO6" s="3" t="str">
        <f t="shared" si="187"/>
        <v>m</v>
      </c>
      <c r="FP6" s="3" t="str">
        <f t="shared" si="187"/>
        <v>m</v>
      </c>
      <c r="FQ6" s="3" t="str">
        <f t="shared" si="187"/>
        <v>j</v>
      </c>
      <c r="FR6" s="3" t="str">
        <f t="shared" si="187"/>
        <v>v</v>
      </c>
      <c r="FS6" s="3" t="str">
        <f t="shared" si="187"/>
        <v>s</v>
      </c>
      <c r="FT6" s="3" t="str">
        <f t="shared" si="187"/>
        <v>d</v>
      </c>
      <c r="FU6" s="3" t="str">
        <f t="shared" ref="FU6:GA6" si="196">LEFT(TEXT(FU5,"ddd"),1)</f>
        <v>l</v>
      </c>
      <c r="FV6" s="3" t="str">
        <f t="shared" si="196"/>
        <v>m</v>
      </c>
      <c r="FW6" s="3" t="str">
        <f t="shared" si="196"/>
        <v>m</v>
      </c>
      <c r="FX6" s="3" t="str">
        <f t="shared" si="196"/>
        <v>j</v>
      </c>
      <c r="FY6" s="3" t="str">
        <f t="shared" si="196"/>
        <v>v</v>
      </c>
      <c r="FZ6" s="3" t="str">
        <f t="shared" si="196"/>
        <v>s</v>
      </c>
      <c r="GA6" s="3" t="str">
        <f t="shared" si="196"/>
        <v>d</v>
      </c>
      <c r="GB6" s="3" t="str">
        <f t="shared" si="187"/>
        <v>l</v>
      </c>
      <c r="GC6" s="3" t="str">
        <f t="shared" si="187"/>
        <v>m</v>
      </c>
      <c r="GD6" s="3" t="str">
        <f t="shared" si="187"/>
        <v>m</v>
      </c>
      <c r="GE6" s="3" t="str">
        <f t="shared" si="187"/>
        <v>j</v>
      </c>
      <c r="GF6" s="3" t="str">
        <f t="shared" si="187"/>
        <v>v</v>
      </c>
      <c r="GG6" s="3" t="str">
        <f t="shared" si="187"/>
        <v>s</v>
      </c>
      <c r="GH6" s="3" t="str">
        <f t="shared" si="187"/>
        <v>d</v>
      </c>
      <c r="GI6" s="3" t="str">
        <f t="shared" ref="GI6:GO6" si="197">LEFT(TEXT(GI5,"ddd"),1)</f>
        <v>l</v>
      </c>
      <c r="GJ6" s="3" t="str">
        <f t="shared" si="197"/>
        <v>m</v>
      </c>
      <c r="GK6" s="3" t="str">
        <f t="shared" si="197"/>
        <v>m</v>
      </c>
      <c r="GL6" s="3" t="str">
        <f t="shared" si="197"/>
        <v>j</v>
      </c>
      <c r="GM6" s="3" t="str">
        <f t="shared" si="197"/>
        <v>v</v>
      </c>
      <c r="GN6" s="3" t="str">
        <f t="shared" si="197"/>
        <v>s</v>
      </c>
      <c r="GO6" s="3" t="str">
        <f t="shared" si="197"/>
        <v>d</v>
      </c>
      <c r="GP6" s="3" t="str">
        <f t="shared" si="187"/>
        <v>l</v>
      </c>
      <c r="GQ6" s="3" t="str">
        <f t="shared" si="187"/>
        <v>m</v>
      </c>
      <c r="GR6" s="3" t="str">
        <f t="shared" si="187"/>
        <v>m</v>
      </c>
      <c r="GS6" s="3" t="str">
        <f t="shared" si="187"/>
        <v>j</v>
      </c>
      <c r="GT6" s="3" t="str">
        <f t="shared" si="187"/>
        <v>v</v>
      </c>
      <c r="GU6" s="3" t="str">
        <f t="shared" si="187"/>
        <v>s</v>
      </c>
      <c r="GV6" s="3" t="str">
        <f t="shared" si="187"/>
        <v>d</v>
      </c>
      <c r="GW6" s="3" t="str">
        <f t="shared" ref="GW6:HC6" si="198">LEFT(TEXT(GW5,"ddd"),1)</f>
        <v>l</v>
      </c>
      <c r="GX6" s="3" t="str">
        <f t="shared" si="198"/>
        <v>m</v>
      </c>
      <c r="GY6" s="3" t="str">
        <f t="shared" si="198"/>
        <v>m</v>
      </c>
      <c r="GZ6" s="3" t="str">
        <f t="shared" si="198"/>
        <v>j</v>
      </c>
      <c r="HA6" s="3" t="str">
        <f t="shared" si="198"/>
        <v>v</v>
      </c>
      <c r="HB6" s="3" t="str">
        <f t="shared" si="198"/>
        <v>s</v>
      </c>
      <c r="HC6" s="3" t="str">
        <f t="shared" si="198"/>
        <v>d</v>
      </c>
      <c r="HD6" s="3" t="str">
        <f t="shared" si="187"/>
        <v>l</v>
      </c>
      <c r="HE6" s="3" t="str">
        <f t="shared" si="187"/>
        <v>m</v>
      </c>
      <c r="HF6" s="3" t="str">
        <f t="shared" si="187"/>
        <v>m</v>
      </c>
      <c r="HG6" s="3" t="str">
        <f t="shared" si="187"/>
        <v>j</v>
      </c>
      <c r="HH6" s="3" t="str">
        <f t="shared" si="187"/>
        <v>v</v>
      </c>
      <c r="HI6" s="3" t="str">
        <f t="shared" si="187"/>
        <v>s</v>
      </c>
      <c r="HJ6" s="3" t="str">
        <f t="shared" si="187"/>
        <v>d</v>
      </c>
      <c r="HK6" s="3" t="str">
        <f t="shared" ref="HK6:HQ6" si="199">LEFT(TEXT(HK5,"ddd"),1)</f>
        <v>l</v>
      </c>
      <c r="HL6" s="3" t="str">
        <f t="shared" si="199"/>
        <v>m</v>
      </c>
      <c r="HM6" s="3" t="str">
        <f t="shared" si="199"/>
        <v>m</v>
      </c>
      <c r="HN6" s="3" t="str">
        <f t="shared" si="199"/>
        <v>j</v>
      </c>
      <c r="HO6" s="3" t="str">
        <f t="shared" si="199"/>
        <v>v</v>
      </c>
      <c r="HP6" s="3" t="str">
        <f t="shared" si="199"/>
        <v>s</v>
      </c>
      <c r="HQ6" s="3" t="str">
        <f t="shared" si="199"/>
        <v>d</v>
      </c>
      <c r="HR6" s="3" t="str">
        <f t="shared" si="187"/>
        <v>l</v>
      </c>
      <c r="HS6" s="3" t="str">
        <f t="shared" si="187"/>
        <v>m</v>
      </c>
      <c r="HT6" s="3" t="str">
        <f t="shared" si="187"/>
        <v>m</v>
      </c>
      <c r="HU6" s="3" t="str">
        <f t="shared" si="187"/>
        <v>j</v>
      </c>
      <c r="HV6" s="3" t="str">
        <f t="shared" si="187"/>
        <v>v</v>
      </c>
      <c r="HW6" s="3" t="str">
        <f t="shared" si="187"/>
        <v>s</v>
      </c>
      <c r="HX6" s="3" t="str">
        <f t="shared" si="187"/>
        <v>d</v>
      </c>
      <c r="HY6" s="3" t="str">
        <f t="shared" ref="HY6:IE6" si="200">LEFT(TEXT(HY5,"ddd"),1)</f>
        <v>l</v>
      </c>
      <c r="HZ6" s="3" t="str">
        <f t="shared" si="200"/>
        <v>m</v>
      </c>
      <c r="IA6" s="3" t="str">
        <f t="shared" si="200"/>
        <v>m</v>
      </c>
      <c r="IB6" s="3" t="str">
        <f t="shared" si="200"/>
        <v>j</v>
      </c>
      <c r="IC6" s="3" t="str">
        <f t="shared" si="200"/>
        <v>v</v>
      </c>
      <c r="ID6" s="3" t="str">
        <f t="shared" si="200"/>
        <v>s</v>
      </c>
      <c r="IE6" s="3" t="str">
        <f t="shared" si="200"/>
        <v>d</v>
      </c>
      <c r="IF6" s="3" t="str">
        <f t="shared" si="187"/>
        <v>l</v>
      </c>
      <c r="IG6" s="3" t="str">
        <f t="shared" si="187"/>
        <v>m</v>
      </c>
      <c r="IH6" s="3" t="str">
        <f t="shared" si="187"/>
        <v>m</v>
      </c>
      <c r="II6" s="3" t="str">
        <f t="shared" si="187"/>
        <v>j</v>
      </c>
      <c r="IJ6" s="3" t="str">
        <f t="shared" si="187"/>
        <v>v</v>
      </c>
      <c r="IK6" s="3" t="str">
        <f t="shared" si="187"/>
        <v>s</v>
      </c>
      <c r="IL6" s="3" t="str">
        <f t="shared" si="187"/>
        <v>d</v>
      </c>
      <c r="IM6" s="3" t="str">
        <f t="shared" ref="IM6:IS6" si="201">LEFT(TEXT(IM5,"ddd"),1)</f>
        <v>l</v>
      </c>
      <c r="IN6" s="3" t="str">
        <f t="shared" si="201"/>
        <v>m</v>
      </c>
      <c r="IO6" s="3" t="str">
        <f t="shared" si="201"/>
        <v>m</v>
      </c>
      <c r="IP6" s="3" t="str">
        <f t="shared" si="201"/>
        <v>j</v>
      </c>
      <c r="IQ6" s="3" t="str">
        <f t="shared" si="201"/>
        <v>v</v>
      </c>
      <c r="IR6" s="3" t="str">
        <f t="shared" si="201"/>
        <v>s</v>
      </c>
      <c r="IS6" s="3" t="str">
        <f t="shared" si="201"/>
        <v>d</v>
      </c>
      <c r="IT6" s="3" t="str">
        <f t="shared" si="187"/>
        <v>l</v>
      </c>
      <c r="IU6" s="3" t="str">
        <f t="shared" si="187"/>
        <v>m</v>
      </c>
      <c r="IV6" s="3" t="str">
        <f t="shared" si="187"/>
        <v>m</v>
      </c>
      <c r="IW6" s="3" t="str">
        <f t="shared" si="187"/>
        <v>j</v>
      </c>
      <c r="IX6" s="3" t="str">
        <f t="shared" si="187"/>
        <v>v</v>
      </c>
      <c r="IY6" s="3" t="str">
        <f t="shared" si="187"/>
        <v>s</v>
      </c>
      <c r="IZ6" s="3" t="str">
        <f t="shared" si="187"/>
        <v>d</v>
      </c>
      <c r="JA6" s="3" t="str">
        <f t="shared" ref="JA6:JG6" si="202">LEFT(TEXT(JA5,"ddd"),1)</f>
        <v>l</v>
      </c>
      <c r="JB6" s="3" t="str">
        <f t="shared" si="202"/>
        <v>m</v>
      </c>
      <c r="JC6" s="3" t="str">
        <f t="shared" si="202"/>
        <v>m</v>
      </c>
      <c r="JD6" s="3" t="str">
        <f t="shared" si="202"/>
        <v>j</v>
      </c>
      <c r="JE6" s="3" t="str">
        <f t="shared" si="202"/>
        <v>v</v>
      </c>
      <c r="JF6" s="3" t="str">
        <f t="shared" si="202"/>
        <v>s</v>
      </c>
      <c r="JG6" s="3" t="str">
        <f t="shared" si="202"/>
        <v>d</v>
      </c>
      <c r="JH6" s="3" t="str">
        <f t="shared" si="187"/>
        <v>l</v>
      </c>
      <c r="JI6" s="3" t="str">
        <f t="shared" si="187"/>
        <v>m</v>
      </c>
      <c r="JJ6" s="3" t="str">
        <f t="shared" si="187"/>
        <v>m</v>
      </c>
      <c r="JK6" s="3" t="str">
        <f t="shared" si="187"/>
        <v>j</v>
      </c>
      <c r="JL6" s="3" t="str">
        <f t="shared" si="187"/>
        <v>v</v>
      </c>
      <c r="JM6" s="3" t="str">
        <f t="shared" si="187"/>
        <v>s</v>
      </c>
      <c r="JN6" s="3" t="str">
        <f t="shared" si="187"/>
        <v>d</v>
      </c>
    </row>
    <row r="7" spans="1:274" ht="30" hidden="1" customHeight="1" thickBot="1" x14ac:dyDescent="0.4">
      <c r="A7" s="30" t="s">
        <v>5</v>
      </c>
      <c r="C7" s="33"/>
      <c r="E7" s="28"/>
      <c r="H7" s="28" t="str">
        <f>IF(OR(ISBLANK(task_start),ISBLANK(task_end)),"",task_end-task_start+1)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4"/>
      <c r="FY7" s="34"/>
      <c r="FZ7" s="34"/>
      <c r="GA7" s="34"/>
      <c r="GB7" s="34"/>
      <c r="GC7" s="34"/>
      <c r="GD7" s="34"/>
      <c r="GE7" s="34"/>
      <c r="GF7" s="34"/>
      <c r="GG7" s="34"/>
      <c r="GH7" s="34"/>
      <c r="GI7" s="34"/>
      <c r="GJ7" s="34"/>
      <c r="GK7" s="34"/>
      <c r="GL7" s="34"/>
      <c r="GM7" s="34"/>
      <c r="GN7" s="34"/>
      <c r="GO7" s="34"/>
      <c r="GP7" s="34"/>
      <c r="GQ7" s="34"/>
      <c r="GR7" s="34"/>
      <c r="GS7" s="34"/>
      <c r="GT7" s="34"/>
      <c r="GU7" s="34"/>
      <c r="GV7" s="34"/>
      <c r="GW7" s="34"/>
      <c r="GX7" s="34"/>
      <c r="GY7" s="34"/>
      <c r="GZ7" s="34"/>
      <c r="HA7" s="34"/>
      <c r="HB7" s="34"/>
      <c r="HC7" s="34"/>
      <c r="HD7" s="34"/>
      <c r="HE7" s="34"/>
      <c r="HF7" s="34"/>
      <c r="HG7" s="34"/>
      <c r="HH7" s="34"/>
      <c r="HI7" s="34"/>
      <c r="HJ7" s="34"/>
      <c r="HK7" s="34"/>
      <c r="HL7" s="34"/>
      <c r="HM7" s="34"/>
      <c r="HN7" s="34"/>
      <c r="HO7" s="34"/>
      <c r="HP7" s="34"/>
      <c r="HQ7" s="34"/>
      <c r="HR7" s="34"/>
      <c r="HS7" s="34"/>
      <c r="HT7" s="34"/>
      <c r="HU7" s="34"/>
      <c r="HV7" s="34"/>
      <c r="HW7" s="34"/>
      <c r="HX7" s="34"/>
      <c r="HY7" s="34"/>
      <c r="HZ7" s="34"/>
      <c r="IA7" s="34"/>
      <c r="IB7" s="34"/>
      <c r="IC7" s="34"/>
      <c r="ID7" s="34"/>
      <c r="IE7" s="34"/>
      <c r="IF7" s="34"/>
      <c r="IG7" s="34"/>
      <c r="IH7" s="34"/>
      <c r="II7" s="34"/>
      <c r="IJ7" s="34"/>
      <c r="IK7" s="34"/>
      <c r="IL7" s="34"/>
      <c r="IM7" s="34"/>
      <c r="IN7" s="34"/>
      <c r="IO7" s="34"/>
      <c r="IP7" s="34"/>
      <c r="IQ7" s="34"/>
      <c r="IR7" s="34"/>
      <c r="IS7" s="34"/>
      <c r="IT7" s="34"/>
      <c r="IU7" s="34"/>
      <c r="IV7" s="34"/>
      <c r="IW7" s="34"/>
      <c r="IX7" s="34"/>
      <c r="IY7" s="34"/>
      <c r="IZ7" s="34"/>
      <c r="JA7" s="34"/>
      <c r="JB7" s="34"/>
      <c r="JC7" s="34"/>
      <c r="JD7" s="34"/>
      <c r="JE7" s="34"/>
      <c r="JF7" s="34"/>
      <c r="JG7" s="34"/>
      <c r="JH7" s="34"/>
      <c r="JI7" s="34"/>
      <c r="JJ7" s="34"/>
      <c r="JK7" s="34"/>
      <c r="JL7" s="34"/>
      <c r="JM7" s="34"/>
      <c r="JN7" s="34"/>
    </row>
    <row r="8" spans="1:274" s="36" customFormat="1" ht="30" customHeight="1" thickBot="1" x14ac:dyDescent="0.4">
      <c r="A8" s="22"/>
      <c r="B8" s="4" t="s">
        <v>19</v>
      </c>
      <c r="C8" s="6"/>
      <c r="D8" s="11"/>
      <c r="E8" s="14"/>
      <c r="F8" s="15"/>
      <c r="G8" s="35"/>
      <c r="H8" s="35" t="str">
        <f t="shared" ref="H8:H17" si="203">IF(OR(ISBLANK(task_start),ISBLANK(task_end)),"",task_end-task_start+1)</f>
        <v/>
      </c>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c r="EL8" s="34"/>
      <c r="EM8" s="34"/>
      <c r="EN8" s="34"/>
      <c r="EO8" s="34"/>
      <c r="EP8" s="34"/>
      <c r="EQ8" s="34"/>
      <c r="ER8" s="34"/>
      <c r="ES8" s="34"/>
      <c r="ET8" s="34"/>
      <c r="EU8" s="34"/>
      <c r="EV8" s="34"/>
      <c r="EW8" s="34"/>
      <c r="EX8" s="34"/>
      <c r="EY8" s="34"/>
      <c r="EZ8" s="34"/>
      <c r="FA8" s="34"/>
      <c r="FB8" s="34"/>
      <c r="FC8" s="34"/>
      <c r="FD8" s="34"/>
      <c r="FE8" s="34"/>
      <c r="FF8" s="34"/>
      <c r="FG8" s="34"/>
      <c r="FH8" s="34"/>
      <c r="FI8" s="34"/>
      <c r="FJ8" s="34"/>
      <c r="FK8" s="34"/>
      <c r="FL8" s="34"/>
      <c r="FM8" s="34"/>
      <c r="FN8" s="34"/>
      <c r="FO8" s="34"/>
      <c r="FP8" s="34"/>
      <c r="FQ8" s="34"/>
      <c r="FR8" s="34"/>
      <c r="FS8" s="34"/>
      <c r="FT8" s="34"/>
      <c r="FU8" s="34"/>
      <c r="FV8" s="34"/>
      <c r="FW8" s="34"/>
      <c r="FX8" s="34"/>
      <c r="FY8" s="34"/>
      <c r="FZ8" s="34"/>
      <c r="GA8" s="34"/>
      <c r="GB8" s="34"/>
      <c r="GC8" s="34"/>
      <c r="GD8" s="34"/>
      <c r="GE8" s="34"/>
      <c r="GF8" s="34"/>
      <c r="GG8" s="34"/>
      <c r="GH8" s="34"/>
      <c r="GI8" s="34"/>
      <c r="GJ8" s="34"/>
      <c r="GK8" s="34"/>
      <c r="GL8" s="34"/>
      <c r="GM8" s="34"/>
      <c r="GN8" s="34"/>
      <c r="GO8" s="34"/>
      <c r="GP8" s="34"/>
      <c r="GQ8" s="34"/>
      <c r="GR8" s="34"/>
      <c r="GS8" s="34"/>
      <c r="GT8" s="34"/>
      <c r="GU8" s="34"/>
      <c r="GV8" s="34"/>
      <c r="GW8" s="34"/>
      <c r="GX8" s="34"/>
      <c r="GY8" s="34"/>
      <c r="GZ8" s="34"/>
      <c r="HA8" s="34"/>
      <c r="HB8" s="34"/>
      <c r="HC8" s="34"/>
      <c r="HD8" s="34"/>
      <c r="HE8" s="34"/>
      <c r="HF8" s="34"/>
      <c r="HG8" s="34"/>
      <c r="HH8" s="34"/>
      <c r="HI8" s="34"/>
      <c r="HJ8" s="34"/>
      <c r="HK8" s="34"/>
      <c r="HL8" s="34"/>
      <c r="HM8" s="34"/>
      <c r="HN8" s="34"/>
      <c r="HO8" s="34"/>
      <c r="HP8" s="34"/>
      <c r="HQ8" s="34"/>
      <c r="HR8" s="34"/>
      <c r="HS8" s="34"/>
      <c r="HT8" s="34"/>
      <c r="HU8" s="34"/>
      <c r="HV8" s="34"/>
      <c r="HW8" s="34"/>
      <c r="HX8" s="34"/>
      <c r="HY8" s="34"/>
      <c r="HZ8" s="34"/>
      <c r="IA8" s="34"/>
      <c r="IB8" s="34"/>
      <c r="IC8" s="34"/>
      <c r="ID8" s="34"/>
      <c r="IE8" s="34"/>
      <c r="IF8" s="34"/>
      <c r="IG8" s="34"/>
      <c r="IH8" s="34"/>
      <c r="II8" s="34"/>
      <c r="IJ8" s="34"/>
      <c r="IK8" s="34"/>
      <c r="IL8" s="34"/>
      <c r="IM8" s="34"/>
      <c r="IN8" s="34"/>
      <c r="IO8" s="34"/>
      <c r="IP8" s="34"/>
      <c r="IQ8" s="34"/>
      <c r="IR8" s="34"/>
      <c r="IS8" s="34"/>
      <c r="IT8" s="34"/>
      <c r="IU8" s="34"/>
      <c r="IV8" s="34"/>
      <c r="IW8" s="34"/>
      <c r="IX8" s="34"/>
      <c r="IY8" s="34"/>
      <c r="IZ8" s="34"/>
      <c r="JA8" s="34"/>
      <c r="JB8" s="34"/>
      <c r="JC8" s="34"/>
      <c r="JD8" s="34"/>
      <c r="JE8" s="34"/>
      <c r="JF8" s="34"/>
      <c r="JG8" s="34"/>
      <c r="JH8" s="34"/>
      <c r="JI8" s="34"/>
      <c r="JJ8" s="34"/>
      <c r="JK8" s="34"/>
      <c r="JL8" s="34"/>
      <c r="JM8" s="34"/>
      <c r="JN8" s="34"/>
    </row>
    <row r="9" spans="1:274" s="36" customFormat="1" ht="30" customHeight="1" thickBot="1" x14ac:dyDescent="0.4">
      <c r="A9" s="22"/>
      <c r="B9" s="19" t="s">
        <v>20</v>
      </c>
      <c r="C9" s="20" t="s">
        <v>23</v>
      </c>
      <c r="D9" s="12">
        <v>1</v>
      </c>
      <c r="E9" s="16">
        <v>44066</v>
      </c>
      <c r="F9" s="16">
        <f>E9+4</f>
        <v>44070</v>
      </c>
      <c r="G9" s="35"/>
      <c r="H9" s="35">
        <f t="shared" si="203"/>
        <v>5</v>
      </c>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34"/>
      <c r="FB9" s="34"/>
      <c r="FC9" s="34"/>
      <c r="FD9" s="34"/>
      <c r="FE9" s="34"/>
      <c r="FF9" s="34"/>
      <c r="FG9" s="34"/>
      <c r="FH9" s="34"/>
      <c r="FI9" s="34"/>
      <c r="FJ9" s="34"/>
      <c r="FK9" s="34"/>
      <c r="FL9" s="34"/>
      <c r="FM9" s="34"/>
      <c r="FN9" s="34"/>
      <c r="FO9" s="34"/>
      <c r="FP9" s="34"/>
      <c r="FQ9" s="34"/>
      <c r="FR9" s="34"/>
      <c r="FS9" s="34"/>
      <c r="FT9" s="34"/>
      <c r="FU9" s="34"/>
      <c r="FV9" s="34"/>
      <c r="FW9" s="34"/>
      <c r="FX9" s="34"/>
      <c r="FY9" s="34"/>
      <c r="FZ9" s="34"/>
      <c r="GA9" s="34"/>
      <c r="GB9" s="34"/>
      <c r="GC9" s="34"/>
      <c r="GD9" s="34"/>
      <c r="GE9" s="34"/>
      <c r="GF9" s="34"/>
      <c r="GG9" s="34"/>
      <c r="GH9" s="34"/>
      <c r="GI9" s="34"/>
      <c r="GJ9" s="34"/>
      <c r="GK9" s="34"/>
      <c r="GL9" s="34"/>
      <c r="GM9" s="34"/>
      <c r="GN9" s="34"/>
      <c r="GO9" s="34"/>
      <c r="GP9" s="34"/>
      <c r="GQ9" s="34"/>
      <c r="GR9" s="34"/>
      <c r="GS9" s="34"/>
      <c r="GT9" s="34"/>
      <c r="GU9" s="34"/>
      <c r="GV9" s="34"/>
      <c r="GW9" s="34"/>
      <c r="GX9" s="34"/>
      <c r="GY9" s="34"/>
      <c r="GZ9" s="34"/>
      <c r="HA9" s="34"/>
      <c r="HB9" s="34"/>
      <c r="HC9" s="34"/>
      <c r="HD9" s="34"/>
      <c r="HE9" s="34"/>
      <c r="HF9" s="34"/>
      <c r="HG9" s="34"/>
      <c r="HH9" s="34"/>
      <c r="HI9" s="34"/>
      <c r="HJ9" s="34"/>
      <c r="HK9" s="34"/>
      <c r="HL9" s="34"/>
      <c r="HM9" s="34"/>
      <c r="HN9" s="34"/>
      <c r="HO9" s="34"/>
      <c r="HP9" s="34"/>
      <c r="HQ9" s="34"/>
      <c r="HR9" s="34"/>
      <c r="HS9" s="34"/>
      <c r="HT9" s="34"/>
      <c r="HU9" s="34"/>
      <c r="HV9" s="34"/>
      <c r="HW9" s="34"/>
      <c r="HX9" s="34"/>
      <c r="HY9" s="34"/>
      <c r="HZ9" s="34"/>
      <c r="IA9" s="34"/>
      <c r="IB9" s="34"/>
      <c r="IC9" s="34"/>
      <c r="ID9" s="34"/>
      <c r="IE9" s="34"/>
      <c r="IF9" s="34"/>
      <c r="IG9" s="34"/>
      <c r="IH9" s="34"/>
      <c r="II9" s="34"/>
      <c r="IJ9" s="34"/>
      <c r="IK9" s="34"/>
      <c r="IL9" s="34"/>
      <c r="IM9" s="34"/>
      <c r="IN9" s="34"/>
      <c r="IO9" s="34"/>
      <c r="IP9" s="34"/>
      <c r="IQ9" s="34"/>
      <c r="IR9" s="34"/>
      <c r="IS9" s="34"/>
      <c r="IT9" s="34"/>
      <c r="IU9" s="34"/>
      <c r="IV9" s="34"/>
      <c r="IW9" s="34"/>
      <c r="IX9" s="34"/>
      <c r="IY9" s="34"/>
      <c r="IZ9" s="34"/>
      <c r="JA9" s="34"/>
      <c r="JB9" s="34"/>
      <c r="JC9" s="34"/>
      <c r="JD9" s="34"/>
      <c r="JE9" s="34"/>
      <c r="JF9" s="34"/>
      <c r="JG9" s="34"/>
      <c r="JH9" s="34"/>
      <c r="JI9" s="34"/>
      <c r="JJ9" s="34"/>
      <c r="JK9" s="34"/>
      <c r="JL9" s="34"/>
      <c r="JM9" s="34"/>
      <c r="JN9" s="34"/>
    </row>
    <row r="10" spans="1:274" s="36" customFormat="1" ht="30" customHeight="1" thickBot="1" x14ac:dyDescent="0.4">
      <c r="A10" s="30"/>
      <c r="B10" s="19" t="s">
        <v>22</v>
      </c>
      <c r="C10" s="20" t="s">
        <v>23</v>
      </c>
      <c r="D10" s="12">
        <v>1</v>
      </c>
      <c r="E10" s="16">
        <f>+F9</f>
        <v>44070</v>
      </c>
      <c r="F10" s="16">
        <f>E10</f>
        <v>44070</v>
      </c>
      <c r="G10" s="35"/>
      <c r="H10" s="35">
        <f t="shared" si="203"/>
        <v>1</v>
      </c>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34"/>
      <c r="FB10" s="34"/>
      <c r="FC10" s="34"/>
      <c r="FD10" s="34"/>
      <c r="FE10" s="34"/>
      <c r="FF10" s="34"/>
      <c r="FG10" s="34"/>
      <c r="FH10" s="34"/>
      <c r="FI10" s="34"/>
      <c r="FJ10" s="34"/>
      <c r="FK10" s="34"/>
      <c r="FL10" s="34"/>
      <c r="FM10" s="34"/>
      <c r="FN10" s="34"/>
      <c r="FO10" s="34"/>
      <c r="FP10" s="34"/>
      <c r="FQ10" s="34"/>
      <c r="FR10" s="34"/>
      <c r="FS10" s="34"/>
      <c r="FT10" s="34"/>
      <c r="FU10" s="34"/>
      <c r="FV10" s="34"/>
      <c r="FW10" s="34"/>
      <c r="FX10" s="34"/>
      <c r="FY10" s="34"/>
      <c r="FZ10" s="34"/>
      <c r="GA10" s="34"/>
      <c r="GB10" s="34"/>
      <c r="GC10" s="34"/>
      <c r="GD10" s="34"/>
      <c r="GE10" s="34"/>
      <c r="GF10" s="34"/>
      <c r="GG10" s="34"/>
      <c r="GH10" s="34"/>
      <c r="GI10" s="34"/>
      <c r="GJ10" s="34"/>
      <c r="GK10" s="34"/>
      <c r="GL10" s="34"/>
      <c r="GM10" s="34"/>
      <c r="GN10" s="34"/>
      <c r="GO10" s="34"/>
      <c r="GP10" s="34"/>
      <c r="GQ10" s="34"/>
      <c r="GR10" s="34"/>
      <c r="GS10" s="34"/>
      <c r="GT10" s="34"/>
      <c r="GU10" s="34"/>
      <c r="GV10" s="34"/>
      <c r="GW10" s="34"/>
      <c r="GX10" s="34"/>
      <c r="GY10" s="34"/>
      <c r="GZ10" s="34"/>
      <c r="HA10" s="34"/>
      <c r="HB10" s="34"/>
      <c r="HC10" s="34"/>
      <c r="HD10" s="34"/>
      <c r="HE10" s="34"/>
      <c r="HF10" s="34"/>
      <c r="HG10" s="34"/>
      <c r="HH10" s="34"/>
      <c r="HI10" s="34"/>
      <c r="HJ10" s="34"/>
      <c r="HK10" s="34"/>
      <c r="HL10" s="34"/>
      <c r="HM10" s="34"/>
      <c r="HN10" s="34"/>
      <c r="HO10" s="34"/>
      <c r="HP10" s="34"/>
      <c r="HQ10" s="34"/>
      <c r="HR10" s="34"/>
      <c r="HS10" s="34"/>
      <c r="HT10" s="34"/>
      <c r="HU10" s="34"/>
      <c r="HV10" s="34"/>
      <c r="HW10" s="34"/>
      <c r="HX10" s="34"/>
      <c r="HY10" s="34"/>
      <c r="HZ10" s="34"/>
      <c r="IA10" s="34"/>
      <c r="IB10" s="34"/>
      <c r="IC10" s="34"/>
      <c r="ID10" s="34"/>
      <c r="IE10" s="34"/>
      <c r="IF10" s="34"/>
      <c r="IG10" s="34"/>
      <c r="IH10" s="34"/>
      <c r="II10" s="34"/>
      <c r="IJ10" s="34"/>
      <c r="IK10" s="34"/>
      <c r="IL10" s="34"/>
      <c r="IM10" s="34"/>
      <c r="IN10" s="34"/>
      <c r="IO10" s="34"/>
      <c r="IP10" s="34"/>
      <c r="IQ10" s="34"/>
      <c r="IR10" s="34"/>
      <c r="IS10" s="34"/>
      <c r="IT10" s="34"/>
      <c r="IU10" s="34"/>
      <c r="IV10" s="34"/>
      <c r="IW10" s="34"/>
      <c r="IX10" s="34"/>
      <c r="IY10" s="34"/>
      <c r="IZ10" s="34"/>
      <c r="JA10" s="34"/>
      <c r="JB10" s="34"/>
      <c r="JC10" s="34"/>
      <c r="JD10" s="34"/>
      <c r="JE10" s="34"/>
      <c r="JF10" s="34"/>
      <c r="JG10" s="34"/>
      <c r="JH10" s="34"/>
      <c r="JI10" s="34"/>
      <c r="JJ10" s="34"/>
      <c r="JK10" s="34"/>
      <c r="JL10" s="34"/>
      <c r="JM10" s="34"/>
      <c r="JN10" s="34"/>
    </row>
    <row r="11" spans="1:274" s="36" customFormat="1" ht="30" customHeight="1" thickBot="1" x14ac:dyDescent="0.4">
      <c r="A11" s="22"/>
      <c r="B11" s="5" t="s">
        <v>15</v>
      </c>
      <c r="C11" s="7"/>
      <c r="D11" s="13"/>
      <c r="E11" s="17"/>
      <c r="F11" s="18"/>
      <c r="G11" s="35"/>
      <c r="H11" s="35" t="str">
        <f t="shared" si="203"/>
        <v/>
      </c>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4"/>
      <c r="HA11" s="34"/>
      <c r="HB11" s="34"/>
      <c r="HC11" s="34"/>
      <c r="HD11" s="34"/>
      <c r="HE11" s="34"/>
      <c r="HF11" s="34"/>
      <c r="HG11" s="34"/>
      <c r="HH11" s="34"/>
      <c r="HI11" s="34"/>
      <c r="HJ11" s="34"/>
      <c r="HK11" s="34"/>
      <c r="HL11" s="34"/>
      <c r="HM11" s="34"/>
      <c r="HN11" s="34"/>
      <c r="HO11" s="34"/>
      <c r="HP11" s="34"/>
      <c r="HQ11" s="34"/>
      <c r="HR11" s="34"/>
      <c r="HS11" s="34"/>
      <c r="HT11" s="34"/>
      <c r="HU11" s="34"/>
      <c r="HV11" s="34"/>
      <c r="HW11" s="34"/>
      <c r="HX11" s="34"/>
      <c r="HY11" s="34"/>
      <c r="HZ11" s="34"/>
      <c r="IA11" s="34"/>
      <c r="IB11" s="34"/>
      <c r="IC11" s="34"/>
      <c r="ID11" s="34"/>
      <c r="IE11" s="34"/>
      <c r="IF11" s="34"/>
      <c r="IG11" s="34"/>
      <c r="IH11" s="34"/>
      <c r="II11" s="34"/>
      <c r="IJ11" s="34"/>
      <c r="IK11" s="34"/>
      <c r="IL11" s="34"/>
      <c r="IM11" s="34"/>
      <c r="IN11" s="34"/>
      <c r="IO11" s="34"/>
      <c r="IP11" s="34"/>
      <c r="IQ11" s="34"/>
      <c r="IR11" s="34"/>
      <c r="IS11" s="34"/>
      <c r="IT11" s="34"/>
      <c r="IU11" s="34"/>
      <c r="IV11" s="34"/>
      <c r="IW11" s="34"/>
      <c r="IX11" s="34"/>
      <c r="IY11" s="34"/>
      <c r="IZ11" s="34"/>
      <c r="JA11" s="34"/>
      <c r="JB11" s="34"/>
      <c r="JC11" s="34"/>
      <c r="JD11" s="34"/>
      <c r="JE11" s="34"/>
      <c r="JF11" s="34"/>
      <c r="JG11" s="34"/>
      <c r="JH11" s="34"/>
      <c r="JI11" s="34"/>
      <c r="JJ11" s="34"/>
      <c r="JK11" s="34"/>
      <c r="JL11" s="34"/>
      <c r="JM11" s="34"/>
      <c r="JN11" s="34"/>
    </row>
    <row r="12" spans="1:274" s="36" customFormat="1" ht="30" customHeight="1" thickBot="1" x14ac:dyDescent="0.4">
      <c r="A12" s="22"/>
      <c r="B12" s="21" t="s">
        <v>24</v>
      </c>
      <c r="C12" s="20" t="s">
        <v>29</v>
      </c>
      <c r="D12" s="12">
        <v>1</v>
      </c>
      <c r="E12" s="16">
        <f>+F10</f>
        <v>44070</v>
      </c>
      <c r="F12" s="16">
        <f t="shared" ref="F12" si="204">E12+2</f>
        <v>44072</v>
      </c>
      <c r="G12" s="35"/>
      <c r="H12" s="35">
        <f t="shared" si="203"/>
        <v>3</v>
      </c>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4"/>
      <c r="FY12" s="34"/>
      <c r="FZ12" s="34"/>
      <c r="GA12" s="34"/>
      <c r="GB12" s="34"/>
      <c r="GC12" s="34"/>
      <c r="GD12" s="34"/>
      <c r="GE12" s="34"/>
      <c r="GF12" s="34"/>
      <c r="GG12" s="34"/>
      <c r="GH12" s="34"/>
      <c r="GI12" s="34"/>
      <c r="GJ12" s="34"/>
      <c r="GK12" s="34"/>
      <c r="GL12" s="34"/>
      <c r="GM12" s="34"/>
      <c r="GN12" s="34"/>
      <c r="GO12" s="34"/>
      <c r="GP12" s="34"/>
      <c r="GQ12" s="34"/>
      <c r="GR12" s="34"/>
      <c r="GS12" s="34"/>
      <c r="GT12" s="34"/>
      <c r="GU12" s="34"/>
      <c r="GV12" s="34"/>
      <c r="GW12" s="34"/>
      <c r="GX12" s="34"/>
      <c r="GY12" s="34"/>
      <c r="GZ12" s="34"/>
      <c r="HA12" s="34"/>
      <c r="HB12" s="34"/>
      <c r="HC12" s="34"/>
      <c r="HD12" s="34"/>
      <c r="HE12" s="34"/>
      <c r="HF12" s="34"/>
      <c r="HG12" s="34"/>
      <c r="HH12" s="34"/>
      <c r="HI12" s="34"/>
      <c r="HJ12" s="34"/>
      <c r="HK12" s="34"/>
      <c r="HL12" s="34"/>
      <c r="HM12" s="34"/>
      <c r="HN12" s="34"/>
      <c r="HO12" s="34"/>
      <c r="HP12" s="34"/>
      <c r="HQ12" s="34"/>
      <c r="HR12" s="34"/>
      <c r="HS12" s="34"/>
      <c r="HT12" s="34"/>
      <c r="HU12" s="34"/>
      <c r="HV12" s="34"/>
      <c r="HW12" s="34"/>
      <c r="HX12" s="34"/>
      <c r="HY12" s="34"/>
      <c r="HZ12" s="34"/>
      <c r="IA12" s="34"/>
      <c r="IB12" s="34"/>
      <c r="IC12" s="34"/>
      <c r="ID12" s="34"/>
      <c r="IE12" s="34"/>
      <c r="IF12" s="34"/>
      <c r="IG12" s="34"/>
      <c r="IH12" s="34"/>
      <c r="II12" s="34"/>
      <c r="IJ12" s="34"/>
      <c r="IK12" s="34"/>
      <c r="IL12" s="34"/>
      <c r="IM12" s="34"/>
      <c r="IN12" s="34"/>
      <c r="IO12" s="34"/>
      <c r="IP12" s="34"/>
      <c r="IQ12" s="34"/>
      <c r="IR12" s="34"/>
      <c r="IS12" s="34"/>
      <c r="IT12" s="34"/>
      <c r="IU12" s="34"/>
      <c r="IV12" s="34"/>
      <c r="IW12" s="34"/>
      <c r="IX12" s="34"/>
      <c r="IY12" s="34"/>
      <c r="IZ12" s="34"/>
      <c r="JA12" s="34"/>
      <c r="JB12" s="34"/>
      <c r="JC12" s="34"/>
      <c r="JD12" s="34"/>
      <c r="JE12" s="34"/>
      <c r="JF12" s="34"/>
      <c r="JG12" s="34"/>
      <c r="JH12" s="34"/>
      <c r="JI12" s="34"/>
      <c r="JJ12" s="34"/>
      <c r="JK12" s="34"/>
      <c r="JL12" s="34"/>
      <c r="JM12" s="34"/>
      <c r="JN12" s="34"/>
    </row>
    <row r="13" spans="1:274" s="36" customFormat="1" ht="30" customHeight="1" thickBot="1" x14ac:dyDescent="0.4">
      <c r="A13" s="30"/>
      <c r="B13" s="21" t="s">
        <v>21</v>
      </c>
      <c r="C13" s="20" t="s">
        <v>30</v>
      </c>
      <c r="D13" s="12">
        <v>1</v>
      </c>
      <c r="E13" s="16">
        <f t="shared" ref="E13" si="205">+F12</f>
        <v>44072</v>
      </c>
      <c r="F13" s="16">
        <f>+E13+2</f>
        <v>44074</v>
      </c>
      <c r="G13" s="35"/>
      <c r="H13" s="35">
        <f t="shared" si="203"/>
        <v>3</v>
      </c>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4"/>
      <c r="FY13" s="34"/>
      <c r="FZ13" s="34"/>
      <c r="GA13" s="34"/>
      <c r="GB13" s="34"/>
      <c r="GC13" s="34"/>
      <c r="GD13" s="34"/>
      <c r="GE13" s="34"/>
      <c r="GF13" s="34"/>
      <c r="GG13" s="34"/>
      <c r="GH13" s="34"/>
      <c r="GI13" s="34"/>
      <c r="GJ13" s="34"/>
      <c r="GK13" s="34"/>
      <c r="GL13" s="34"/>
      <c r="GM13" s="34"/>
      <c r="GN13" s="34"/>
      <c r="GO13" s="34"/>
      <c r="GP13" s="34"/>
      <c r="GQ13" s="34"/>
      <c r="GR13" s="34"/>
      <c r="GS13" s="34"/>
      <c r="GT13" s="34"/>
      <c r="GU13" s="34"/>
      <c r="GV13" s="34"/>
      <c r="GW13" s="34"/>
      <c r="GX13" s="34"/>
      <c r="GY13" s="34"/>
      <c r="GZ13" s="34"/>
      <c r="HA13" s="34"/>
      <c r="HB13" s="34"/>
      <c r="HC13" s="34"/>
      <c r="HD13" s="34"/>
      <c r="HE13" s="34"/>
      <c r="HF13" s="34"/>
      <c r="HG13" s="34"/>
      <c r="HH13" s="34"/>
      <c r="HI13" s="34"/>
      <c r="HJ13" s="34"/>
      <c r="HK13" s="34"/>
      <c r="HL13" s="34"/>
      <c r="HM13" s="34"/>
      <c r="HN13" s="34"/>
      <c r="HO13" s="34"/>
      <c r="HP13" s="34"/>
      <c r="HQ13" s="34"/>
      <c r="HR13" s="34"/>
      <c r="HS13" s="34"/>
      <c r="HT13" s="34"/>
      <c r="HU13" s="34"/>
      <c r="HV13" s="34"/>
      <c r="HW13" s="34"/>
      <c r="HX13" s="34"/>
      <c r="HY13" s="34"/>
      <c r="HZ13" s="34"/>
      <c r="IA13" s="34"/>
      <c r="IB13" s="34"/>
      <c r="IC13" s="34"/>
      <c r="ID13" s="34"/>
      <c r="IE13" s="34"/>
      <c r="IF13" s="34"/>
      <c r="IG13" s="34"/>
      <c r="IH13" s="34"/>
      <c r="II13" s="34"/>
      <c r="IJ13" s="34"/>
      <c r="IK13" s="34"/>
      <c r="IL13" s="34"/>
      <c r="IM13" s="34"/>
      <c r="IN13" s="34"/>
      <c r="IO13" s="34"/>
      <c r="IP13" s="34"/>
      <c r="IQ13" s="34"/>
      <c r="IR13" s="34"/>
      <c r="IS13" s="34"/>
      <c r="IT13" s="34"/>
      <c r="IU13" s="34"/>
      <c r="IV13" s="34"/>
      <c r="IW13" s="34"/>
      <c r="IX13" s="34"/>
      <c r="IY13" s="34"/>
      <c r="IZ13" s="34"/>
      <c r="JA13" s="34"/>
      <c r="JB13" s="34"/>
      <c r="JC13" s="34"/>
      <c r="JD13" s="34"/>
      <c r="JE13" s="34"/>
      <c r="JF13" s="34"/>
      <c r="JG13" s="34"/>
      <c r="JH13" s="34"/>
      <c r="JI13" s="34"/>
      <c r="JJ13" s="34"/>
      <c r="JK13" s="34"/>
      <c r="JL13" s="34"/>
      <c r="JM13" s="34"/>
      <c r="JN13" s="34"/>
    </row>
    <row r="14" spans="1:274" s="36" customFormat="1" ht="30" customHeight="1" thickBot="1" x14ac:dyDescent="0.4">
      <c r="A14" s="22"/>
      <c r="B14" s="21" t="s">
        <v>25</v>
      </c>
      <c r="C14" s="20" t="s">
        <v>23</v>
      </c>
      <c r="D14" s="12">
        <v>0.95</v>
      </c>
      <c r="E14" s="16">
        <f>+F13</f>
        <v>44074</v>
      </c>
      <c r="F14" s="16">
        <f>+E14+20</f>
        <v>44094</v>
      </c>
      <c r="G14" s="35"/>
      <c r="H14" s="35">
        <f t="shared" si="203"/>
        <v>21</v>
      </c>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c r="FJ14" s="34"/>
      <c r="FK14" s="34"/>
      <c r="FL14" s="34"/>
      <c r="FM14" s="34"/>
      <c r="FN14" s="34"/>
      <c r="FO14" s="34"/>
      <c r="FP14" s="34"/>
      <c r="FQ14" s="34"/>
      <c r="FR14" s="34"/>
      <c r="FS14" s="34"/>
      <c r="FT14" s="34"/>
      <c r="FU14" s="34"/>
      <c r="FV14" s="34"/>
      <c r="FW14" s="34"/>
      <c r="FX14" s="34"/>
      <c r="FY14" s="34"/>
      <c r="FZ14" s="34"/>
      <c r="GA14" s="34"/>
      <c r="GB14" s="34"/>
      <c r="GC14" s="34"/>
      <c r="GD14" s="34"/>
      <c r="GE14" s="34"/>
      <c r="GF14" s="34"/>
      <c r="GG14" s="34"/>
      <c r="GH14" s="34"/>
      <c r="GI14" s="34"/>
      <c r="GJ14" s="34"/>
      <c r="GK14" s="34"/>
      <c r="GL14" s="34"/>
      <c r="GM14" s="34"/>
      <c r="GN14" s="34"/>
      <c r="GO14" s="34"/>
      <c r="GP14" s="34"/>
      <c r="GQ14" s="34"/>
      <c r="GR14" s="34"/>
      <c r="GS14" s="34"/>
      <c r="GT14" s="34"/>
      <c r="GU14" s="34"/>
      <c r="GV14" s="34"/>
      <c r="GW14" s="34"/>
      <c r="GX14" s="34"/>
      <c r="GY14" s="34"/>
      <c r="GZ14" s="34"/>
      <c r="HA14" s="34"/>
      <c r="HB14" s="34"/>
      <c r="HC14" s="34"/>
      <c r="HD14" s="34"/>
      <c r="HE14" s="34"/>
      <c r="HF14" s="34"/>
      <c r="HG14" s="34"/>
      <c r="HH14" s="34"/>
      <c r="HI14" s="34"/>
      <c r="HJ14" s="34"/>
      <c r="HK14" s="34"/>
      <c r="HL14" s="34"/>
      <c r="HM14" s="34"/>
      <c r="HN14" s="34"/>
      <c r="HO14" s="34"/>
      <c r="HP14" s="34"/>
      <c r="HQ14" s="34"/>
      <c r="HR14" s="34"/>
      <c r="HS14" s="34"/>
      <c r="HT14" s="34"/>
      <c r="HU14" s="34"/>
      <c r="HV14" s="34"/>
      <c r="HW14" s="34"/>
      <c r="HX14" s="34"/>
      <c r="HY14" s="34"/>
      <c r="HZ14" s="34"/>
      <c r="IA14" s="34"/>
      <c r="IB14" s="34"/>
      <c r="IC14" s="34"/>
      <c r="ID14" s="34"/>
      <c r="IE14" s="34"/>
      <c r="IF14" s="34"/>
      <c r="IG14" s="34"/>
      <c r="IH14" s="34"/>
      <c r="II14" s="34"/>
      <c r="IJ14" s="34"/>
      <c r="IK14" s="34"/>
      <c r="IL14" s="34"/>
      <c r="IM14" s="34"/>
      <c r="IN14" s="34"/>
      <c r="IO14" s="34"/>
      <c r="IP14" s="34"/>
      <c r="IQ14" s="34"/>
      <c r="IR14" s="34"/>
      <c r="IS14" s="34"/>
      <c r="IT14" s="34"/>
      <c r="IU14" s="34"/>
      <c r="IV14" s="34"/>
      <c r="IW14" s="34"/>
      <c r="IX14" s="34"/>
      <c r="IY14" s="34"/>
      <c r="IZ14" s="34"/>
      <c r="JA14" s="34"/>
      <c r="JB14" s="34"/>
      <c r="JC14" s="34"/>
      <c r="JD14" s="34"/>
      <c r="JE14" s="34"/>
      <c r="JF14" s="34"/>
      <c r="JG14" s="34"/>
      <c r="JH14" s="34"/>
      <c r="JI14" s="34"/>
      <c r="JJ14" s="34"/>
      <c r="JK14" s="34"/>
      <c r="JL14" s="34"/>
      <c r="JM14" s="34"/>
      <c r="JN14" s="34"/>
    </row>
    <row r="15" spans="1:274" s="36" customFormat="1" ht="30" customHeight="1" thickBot="1" x14ac:dyDescent="0.4">
      <c r="A15" s="22"/>
      <c r="B15" s="21" t="s">
        <v>28</v>
      </c>
      <c r="C15" s="20"/>
      <c r="D15" s="12">
        <v>0</v>
      </c>
      <c r="E15" s="16">
        <f>+F14</f>
        <v>44094</v>
      </c>
      <c r="F15" s="16">
        <f>+E15</f>
        <v>44094</v>
      </c>
      <c r="G15" s="35"/>
      <c r="H15" s="35">
        <f t="shared" si="203"/>
        <v>1</v>
      </c>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34"/>
      <c r="FB15" s="34"/>
      <c r="FC15" s="34"/>
      <c r="FD15" s="34"/>
      <c r="FE15" s="34"/>
      <c r="FF15" s="34"/>
      <c r="FG15" s="34"/>
      <c r="FH15" s="34"/>
      <c r="FI15" s="34"/>
      <c r="FJ15" s="34"/>
      <c r="FK15" s="34"/>
      <c r="FL15" s="34"/>
      <c r="FM15" s="34"/>
      <c r="FN15" s="34"/>
      <c r="FO15" s="34"/>
      <c r="FP15" s="34"/>
      <c r="FQ15" s="34"/>
      <c r="FR15" s="34"/>
      <c r="FS15" s="34"/>
      <c r="FT15" s="34"/>
      <c r="FU15" s="34"/>
      <c r="FV15" s="34"/>
      <c r="FW15" s="34"/>
      <c r="FX15" s="34"/>
      <c r="FY15" s="34"/>
      <c r="FZ15" s="34"/>
      <c r="GA15" s="34"/>
      <c r="GB15" s="34"/>
      <c r="GC15" s="34"/>
      <c r="GD15" s="34"/>
      <c r="GE15" s="34"/>
      <c r="GF15" s="34"/>
      <c r="GG15" s="34"/>
      <c r="GH15" s="34"/>
      <c r="GI15" s="34"/>
      <c r="GJ15" s="34"/>
      <c r="GK15" s="34"/>
      <c r="GL15" s="34"/>
      <c r="GM15" s="34"/>
      <c r="GN15" s="34"/>
      <c r="GO15" s="34"/>
      <c r="GP15" s="34"/>
      <c r="GQ15" s="34"/>
      <c r="GR15" s="34"/>
      <c r="GS15" s="34"/>
      <c r="GT15" s="34"/>
      <c r="GU15" s="34"/>
      <c r="GV15" s="34"/>
      <c r="GW15" s="34"/>
      <c r="GX15" s="34"/>
      <c r="GY15" s="34"/>
      <c r="GZ15" s="34"/>
      <c r="HA15" s="34"/>
      <c r="HB15" s="34"/>
      <c r="HC15" s="34"/>
      <c r="HD15" s="34"/>
      <c r="HE15" s="34"/>
      <c r="HF15" s="34"/>
      <c r="HG15" s="34"/>
      <c r="HH15" s="34"/>
      <c r="HI15" s="34"/>
      <c r="HJ15" s="34"/>
      <c r="HK15" s="34"/>
      <c r="HL15" s="34"/>
      <c r="HM15" s="34"/>
      <c r="HN15" s="34"/>
      <c r="HO15" s="34"/>
      <c r="HP15" s="34"/>
      <c r="HQ15" s="34"/>
      <c r="HR15" s="34"/>
      <c r="HS15" s="34"/>
      <c r="HT15" s="34"/>
      <c r="HU15" s="34"/>
      <c r="HV15" s="34"/>
      <c r="HW15" s="34"/>
      <c r="HX15" s="34"/>
      <c r="HY15" s="34"/>
      <c r="HZ15" s="34"/>
      <c r="IA15" s="34"/>
      <c r="IB15" s="34"/>
      <c r="IC15" s="34"/>
      <c r="ID15" s="34"/>
      <c r="IE15" s="34"/>
      <c r="IF15" s="34"/>
      <c r="IG15" s="34"/>
      <c r="IH15" s="34"/>
      <c r="II15" s="34"/>
      <c r="IJ15" s="34"/>
      <c r="IK15" s="34"/>
      <c r="IL15" s="34"/>
      <c r="IM15" s="34"/>
      <c r="IN15" s="34"/>
      <c r="IO15" s="34"/>
      <c r="IP15" s="34"/>
      <c r="IQ15" s="34"/>
      <c r="IR15" s="34"/>
      <c r="IS15" s="34"/>
      <c r="IT15" s="34"/>
      <c r="IU15" s="34"/>
      <c r="IV15" s="34"/>
      <c r="IW15" s="34"/>
      <c r="IX15" s="34"/>
      <c r="IY15" s="34"/>
      <c r="IZ15" s="34"/>
      <c r="JA15" s="34"/>
      <c r="JB15" s="34"/>
      <c r="JC15" s="34"/>
      <c r="JD15" s="34"/>
      <c r="JE15" s="34"/>
      <c r="JF15" s="34"/>
      <c r="JG15" s="34"/>
      <c r="JH15" s="34"/>
      <c r="JI15" s="34"/>
      <c r="JJ15" s="34"/>
      <c r="JK15" s="34"/>
      <c r="JL15" s="34"/>
      <c r="JM15" s="34"/>
      <c r="JN15" s="34"/>
    </row>
    <row r="16" spans="1:274" s="36" customFormat="1" ht="30" customHeight="1" thickBot="1" x14ac:dyDescent="0.4">
      <c r="A16" s="22"/>
      <c r="B16" s="5" t="s">
        <v>26</v>
      </c>
      <c r="C16" s="7"/>
      <c r="D16" s="13"/>
      <c r="E16" s="17"/>
      <c r="F16" s="18"/>
      <c r="G16" s="35"/>
      <c r="H16" s="35" t="str">
        <f t="shared" si="203"/>
        <v/>
      </c>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c r="FA16" s="34"/>
      <c r="FB16" s="34"/>
      <c r="FC16" s="34"/>
      <c r="FD16" s="34"/>
      <c r="FE16" s="34"/>
      <c r="FF16" s="34"/>
      <c r="FG16" s="34"/>
      <c r="FH16" s="34"/>
      <c r="FI16" s="34"/>
      <c r="FJ16" s="34"/>
      <c r="FK16" s="34"/>
      <c r="FL16" s="34"/>
      <c r="FM16" s="34"/>
      <c r="FN16" s="34"/>
      <c r="FO16" s="34"/>
      <c r="FP16" s="34"/>
      <c r="FQ16" s="34"/>
      <c r="FR16" s="34"/>
      <c r="FS16" s="34"/>
      <c r="FT16" s="34"/>
      <c r="FU16" s="34"/>
      <c r="FV16" s="34"/>
      <c r="FW16" s="34"/>
      <c r="FX16" s="34"/>
      <c r="FY16" s="34"/>
      <c r="FZ16" s="34"/>
      <c r="GA16" s="34"/>
      <c r="GB16" s="34"/>
      <c r="GC16" s="34"/>
      <c r="GD16" s="34"/>
      <c r="GE16" s="34"/>
      <c r="GF16" s="34"/>
      <c r="GG16" s="34"/>
      <c r="GH16" s="34"/>
      <c r="GI16" s="34"/>
      <c r="GJ16" s="34"/>
      <c r="GK16" s="34"/>
      <c r="GL16" s="34"/>
      <c r="GM16" s="34"/>
      <c r="GN16" s="34"/>
      <c r="GO16" s="34"/>
      <c r="GP16" s="34"/>
      <c r="GQ16" s="34"/>
      <c r="GR16" s="34"/>
      <c r="GS16" s="34"/>
      <c r="GT16" s="34"/>
      <c r="GU16" s="34"/>
      <c r="GV16" s="34"/>
      <c r="GW16" s="34"/>
      <c r="GX16" s="34"/>
      <c r="GY16" s="34"/>
      <c r="GZ16" s="34"/>
      <c r="HA16" s="34"/>
      <c r="HB16" s="34"/>
      <c r="HC16" s="34"/>
      <c r="HD16" s="34"/>
      <c r="HE16" s="34"/>
      <c r="HF16" s="34"/>
      <c r="HG16" s="34"/>
      <c r="HH16" s="34"/>
      <c r="HI16" s="34"/>
      <c r="HJ16" s="34"/>
      <c r="HK16" s="34"/>
      <c r="HL16" s="34"/>
      <c r="HM16" s="34"/>
      <c r="HN16" s="34"/>
      <c r="HO16" s="34"/>
      <c r="HP16" s="34"/>
      <c r="HQ16" s="34"/>
      <c r="HR16" s="34"/>
      <c r="HS16" s="34"/>
      <c r="HT16" s="34"/>
      <c r="HU16" s="34"/>
      <c r="HV16" s="34"/>
      <c r="HW16" s="34"/>
      <c r="HX16" s="34"/>
      <c r="HY16" s="34"/>
      <c r="HZ16" s="34"/>
      <c r="IA16" s="34"/>
      <c r="IB16" s="34"/>
      <c r="IC16" s="34"/>
      <c r="ID16" s="34"/>
      <c r="IE16" s="34"/>
      <c r="IF16" s="34"/>
      <c r="IG16" s="34"/>
      <c r="IH16" s="34"/>
      <c r="II16" s="34"/>
      <c r="IJ16" s="34"/>
      <c r="IK16" s="34"/>
      <c r="IL16" s="34"/>
      <c r="IM16" s="34"/>
      <c r="IN16" s="34"/>
      <c r="IO16" s="34"/>
      <c r="IP16" s="34"/>
      <c r="IQ16" s="34"/>
      <c r="IR16" s="34"/>
      <c r="IS16" s="34"/>
      <c r="IT16" s="34"/>
      <c r="IU16" s="34"/>
      <c r="IV16" s="34"/>
      <c r="IW16" s="34"/>
      <c r="IX16" s="34"/>
      <c r="IY16" s="34"/>
      <c r="IZ16" s="34"/>
      <c r="JA16" s="34"/>
      <c r="JB16" s="34"/>
      <c r="JC16" s="34"/>
      <c r="JD16" s="34"/>
      <c r="JE16" s="34"/>
      <c r="JF16" s="34"/>
      <c r="JG16" s="34"/>
      <c r="JH16" s="34"/>
      <c r="JI16" s="34"/>
      <c r="JJ16" s="34"/>
      <c r="JK16" s="34"/>
      <c r="JL16" s="34"/>
      <c r="JM16" s="34"/>
      <c r="JN16" s="34"/>
    </row>
    <row r="17" spans="1:274" s="36" customFormat="1" ht="30" customHeight="1" thickBot="1" x14ac:dyDescent="0.4">
      <c r="A17" s="22"/>
      <c r="B17" s="21" t="s">
        <v>27</v>
      </c>
      <c r="C17" s="20" t="s">
        <v>31</v>
      </c>
      <c r="D17" s="12">
        <v>1</v>
      </c>
      <c r="E17" s="16">
        <f>+F15</f>
        <v>44094</v>
      </c>
      <c r="F17" s="16">
        <f>E17+1</f>
        <v>44095</v>
      </c>
      <c r="G17" s="35"/>
      <c r="H17" s="35">
        <f t="shared" si="203"/>
        <v>2</v>
      </c>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4"/>
      <c r="FY17" s="34"/>
      <c r="FZ17" s="34"/>
      <c r="GA17" s="34"/>
      <c r="GB17" s="34"/>
      <c r="GC17" s="34"/>
      <c r="GD17" s="34"/>
      <c r="GE17" s="34"/>
      <c r="GF17" s="34"/>
      <c r="GG17" s="34"/>
      <c r="GH17" s="34"/>
      <c r="GI17" s="34"/>
      <c r="GJ17" s="34"/>
      <c r="GK17" s="34"/>
      <c r="GL17" s="34"/>
      <c r="GM17" s="34"/>
      <c r="GN17" s="34"/>
      <c r="GO17" s="34"/>
      <c r="GP17" s="34"/>
      <c r="GQ17" s="34"/>
      <c r="GR17" s="34"/>
      <c r="GS17" s="34"/>
      <c r="GT17" s="34"/>
      <c r="GU17" s="34"/>
      <c r="GV17" s="34"/>
      <c r="GW17" s="34"/>
      <c r="GX17" s="34"/>
      <c r="GY17" s="34"/>
      <c r="GZ17" s="34"/>
      <c r="HA17" s="34"/>
      <c r="HB17" s="34"/>
      <c r="HC17" s="34"/>
      <c r="HD17" s="34"/>
      <c r="HE17" s="34"/>
      <c r="HF17" s="34"/>
      <c r="HG17" s="34"/>
      <c r="HH17" s="34"/>
      <c r="HI17" s="34"/>
      <c r="HJ17" s="34"/>
      <c r="HK17" s="34"/>
      <c r="HL17" s="34"/>
      <c r="HM17" s="34"/>
      <c r="HN17" s="34"/>
      <c r="HO17" s="34"/>
      <c r="HP17" s="34"/>
      <c r="HQ17" s="34"/>
      <c r="HR17" s="34"/>
      <c r="HS17" s="34"/>
      <c r="HT17" s="34"/>
      <c r="HU17" s="34"/>
      <c r="HV17" s="34"/>
      <c r="HW17" s="34"/>
      <c r="HX17" s="34"/>
      <c r="HY17" s="34"/>
      <c r="HZ17" s="34"/>
      <c r="IA17" s="34"/>
      <c r="IB17" s="34"/>
      <c r="IC17" s="34"/>
      <c r="ID17" s="34"/>
      <c r="IE17" s="34"/>
      <c r="IF17" s="34"/>
      <c r="IG17" s="34"/>
      <c r="IH17" s="34"/>
      <c r="II17" s="34"/>
      <c r="IJ17" s="34"/>
      <c r="IK17" s="34"/>
      <c r="IL17" s="34"/>
      <c r="IM17" s="34"/>
      <c r="IN17" s="34"/>
      <c r="IO17" s="34"/>
      <c r="IP17" s="34"/>
      <c r="IQ17" s="34"/>
      <c r="IR17" s="34"/>
      <c r="IS17" s="34"/>
      <c r="IT17" s="34"/>
      <c r="IU17" s="34"/>
      <c r="IV17" s="34"/>
      <c r="IW17" s="34"/>
      <c r="IX17" s="34"/>
      <c r="IY17" s="34"/>
      <c r="IZ17" s="34"/>
      <c r="JA17" s="34"/>
      <c r="JB17" s="34"/>
      <c r="JC17" s="34"/>
      <c r="JD17" s="34"/>
      <c r="JE17" s="34"/>
      <c r="JF17" s="34"/>
      <c r="JG17" s="34"/>
      <c r="JH17" s="34"/>
      <c r="JI17" s="34"/>
      <c r="JJ17" s="34"/>
      <c r="JK17" s="34"/>
      <c r="JL17" s="34"/>
      <c r="JM17" s="34"/>
      <c r="JN17" s="34"/>
    </row>
  </sheetData>
  <mergeCells count="44">
    <mergeCell ref="FU4:GA4"/>
    <mergeCell ref="HK4:HQ4"/>
    <mergeCell ref="HD4:HJ4"/>
    <mergeCell ref="GW4:HC4"/>
    <mergeCell ref="GP4:GV4"/>
    <mergeCell ref="GI4:GO4"/>
    <mergeCell ref="IT4:IZ4"/>
    <mergeCell ref="IM4:IS4"/>
    <mergeCell ref="IF4:IL4"/>
    <mergeCell ref="HY4:IE4"/>
    <mergeCell ref="HR4:HX4"/>
    <mergeCell ref="C2:D2"/>
    <mergeCell ref="C4:D4"/>
    <mergeCell ref="B5:G5"/>
    <mergeCell ref="AK4:AQ4"/>
    <mergeCell ref="AR4:AX4"/>
    <mergeCell ref="AY4:BE4"/>
    <mergeCell ref="EE4:EK4"/>
    <mergeCell ref="E2:F2"/>
    <mergeCell ref="E3:F3"/>
    <mergeCell ref="FN4:FT4"/>
    <mergeCell ref="FG4:FM4"/>
    <mergeCell ref="EZ4:FF4"/>
    <mergeCell ref="ES4:EY4"/>
    <mergeCell ref="EL4:ER4"/>
    <mergeCell ref="BT4:BZ4"/>
    <mergeCell ref="BM4:BS4"/>
    <mergeCell ref="BF4:BL4"/>
    <mergeCell ref="JH4:JN4"/>
    <mergeCell ref="C3:D3"/>
    <mergeCell ref="I4:O4"/>
    <mergeCell ref="P4:V4"/>
    <mergeCell ref="W4:AC4"/>
    <mergeCell ref="AD4:AJ4"/>
    <mergeCell ref="JA4:JG4"/>
    <mergeCell ref="DX4:ED4"/>
    <mergeCell ref="DQ4:DW4"/>
    <mergeCell ref="DJ4:DP4"/>
    <mergeCell ref="DC4:DI4"/>
    <mergeCell ref="CV4:DB4"/>
    <mergeCell ref="CO4:CU4"/>
    <mergeCell ref="CH4:CN4"/>
    <mergeCell ref="CA4:CG4"/>
    <mergeCell ref="GB4:GH4"/>
  </mergeCells>
  <conditionalFormatting sqref="D7:D11 D17">
    <cfRule type="dataBar" priority="148">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6:BD7 BF6:EC7 JA6:JN7 I5:JN5 I17:JN17 I8:JN11">
    <cfRule type="expression" dxfId="71" priority="167">
      <formula>AND(TODAY()&gt;=I$5,TODAY()&lt;J$5)</formula>
    </cfRule>
  </conditionalFormatting>
  <conditionalFormatting sqref="I7:BD7 BF7:EC7 JA7:JN7 I17:JN17 I8:JN11">
    <cfRule type="expression" dxfId="70" priority="161">
      <formula>AND(task_start&lt;=I$5,ROUNDDOWN((task_end-task_start+1)*task_progress,0)+task_start-1&gt;=I$5)</formula>
    </cfRule>
    <cfRule type="expression" dxfId="69" priority="162" stopIfTrue="1">
      <formula>AND(task_end&gt;=I$5,task_start&lt;J$5)</formula>
    </cfRule>
  </conditionalFormatting>
  <conditionalFormatting sqref="BE6:BE7">
    <cfRule type="expression" dxfId="68" priority="170">
      <formula>AND(TODAY()&gt;=BE$5,TODAY()&lt;JH$5)</formula>
    </cfRule>
  </conditionalFormatting>
  <conditionalFormatting sqref="BE7">
    <cfRule type="expression" dxfId="67" priority="175">
      <formula>AND(task_start&lt;=BE$5,ROUNDDOWN((task_end-task_start+1)*task_progress,0)+task_start-1&gt;=BE$5)</formula>
    </cfRule>
    <cfRule type="expression" dxfId="66" priority="176" stopIfTrue="1">
      <formula>AND(task_end&gt;=BE$5,task_start&lt;JH$5)</formula>
    </cfRule>
  </conditionalFormatting>
  <conditionalFormatting sqref="ED6:ED7">
    <cfRule type="expression" dxfId="65" priority="179">
      <formula>AND(TODAY()&gt;=ED$5,TODAY()&lt;JA$5)</formula>
    </cfRule>
  </conditionalFormatting>
  <conditionalFormatting sqref="ED7">
    <cfRule type="expression" dxfId="64" priority="193">
      <formula>AND(task_start&lt;=ED$5,ROUNDDOWN((task_end-task_start+1)*task_progress,0)+task_start-1&gt;=ED$5)</formula>
    </cfRule>
    <cfRule type="expression" dxfId="63" priority="194" stopIfTrue="1">
      <formula>AND(task_end&gt;=ED$5,task_start&lt;JA$5)</formula>
    </cfRule>
  </conditionalFormatting>
  <conditionalFormatting sqref="IT6:IZ7">
    <cfRule type="expression" dxfId="62" priority="80">
      <formula>AND(TODAY()&gt;=IT$5,TODAY()&lt;IU$5)</formula>
    </cfRule>
  </conditionalFormatting>
  <conditionalFormatting sqref="IT7:IZ7">
    <cfRule type="expression" dxfId="61" priority="78">
      <formula>AND(task_start&lt;=IT$5,ROUNDDOWN((task_end-task_start+1)*task_progress,0)+task_start-1&gt;=IT$5)</formula>
    </cfRule>
    <cfRule type="expression" dxfId="60" priority="79" stopIfTrue="1">
      <formula>AND(task_end&gt;=IT$5,task_start&lt;IU$5)</formula>
    </cfRule>
  </conditionalFormatting>
  <conditionalFormatting sqref="IM6:IS7">
    <cfRule type="expression" dxfId="59" priority="77">
      <formula>AND(TODAY()&gt;=IM$5,TODAY()&lt;IN$5)</formula>
    </cfRule>
  </conditionalFormatting>
  <conditionalFormatting sqref="IM7:IS7">
    <cfRule type="expression" dxfId="58" priority="75">
      <formula>AND(task_start&lt;=IM$5,ROUNDDOWN((task_end-task_start+1)*task_progress,0)+task_start-1&gt;=IM$5)</formula>
    </cfRule>
    <cfRule type="expression" dxfId="57" priority="76" stopIfTrue="1">
      <formula>AND(task_end&gt;=IM$5,task_start&lt;IN$5)</formula>
    </cfRule>
  </conditionalFormatting>
  <conditionalFormatting sqref="IF6:IL7">
    <cfRule type="expression" dxfId="56" priority="74">
      <formula>AND(TODAY()&gt;=IF$5,TODAY()&lt;IG$5)</formula>
    </cfRule>
  </conditionalFormatting>
  <conditionalFormatting sqref="IF7:IL7">
    <cfRule type="expression" dxfId="55" priority="72">
      <formula>AND(task_start&lt;=IF$5,ROUNDDOWN((task_end-task_start+1)*task_progress,0)+task_start-1&gt;=IF$5)</formula>
    </cfRule>
    <cfRule type="expression" dxfId="54" priority="73" stopIfTrue="1">
      <formula>AND(task_end&gt;=IF$5,task_start&lt;IG$5)</formula>
    </cfRule>
  </conditionalFormatting>
  <conditionalFormatting sqref="HY6:IE7">
    <cfRule type="expression" dxfId="53" priority="71">
      <formula>AND(TODAY()&gt;=HY$5,TODAY()&lt;HZ$5)</formula>
    </cfRule>
  </conditionalFormatting>
  <conditionalFormatting sqref="HY7:IE7">
    <cfRule type="expression" dxfId="52" priority="69">
      <formula>AND(task_start&lt;=HY$5,ROUNDDOWN((task_end-task_start+1)*task_progress,0)+task_start-1&gt;=HY$5)</formula>
    </cfRule>
    <cfRule type="expression" dxfId="51" priority="70" stopIfTrue="1">
      <formula>AND(task_end&gt;=HY$5,task_start&lt;HZ$5)</formula>
    </cfRule>
  </conditionalFormatting>
  <conditionalFormatting sqref="HR6:HX7">
    <cfRule type="expression" dxfId="50" priority="68">
      <formula>AND(TODAY()&gt;=HR$5,TODAY()&lt;HS$5)</formula>
    </cfRule>
  </conditionalFormatting>
  <conditionalFormatting sqref="HR7:HX7">
    <cfRule type="expression" dxfId="49" priority="66">
      <formula>AND(task_start&lt;=HR$5,ROUNDDOWN((task_end-task_start+1)*task_progress,0)+task_start-1&gt;=HR$5)</formula>
    </cfRule>
    <cfRule type="expression" dxfId="48" priority="67" stopIfTrue="1">
      <formula>AND(task_end&gt;=HR$5,task_start&lt;HS$5)</formula>
    </cfRule>
  </conditionalFormatting>
  <conditionalFormatting sqref="HK6:HQ7">
    <cfRule type="expression" dxfId="47" priority="65">
      <formula>AND(TODAY()&gt;=HK$5,TODAY()&lt;HL$5)</formula>
    </cfRule>
  </conditionalFormatting>
  <conditionalFormatting sqref="HK7:HQ7">
    <cfRule type="expression" dxfId="46" priority="63">
      <formula>AND(task_start&lt;=HK$5,ROUNDDOWN((task_end-task_start+1)*task_progress,0)+task_start-1&gt;=HK$5)</formula>
    </cfRule>
    <cfRule type="expression" dxfId="45" priority="64" stopIfTrue="1">
      <formula>AND(task_end&gt;=HK$5,task_start&lt;HL$5)</formula>
    </cfRule>
  </conditionalFormatting>
  <conditionalFormatting sqref="HD6:HJ7">
    <cfRule type="expression" dxfId="44" priority="62">
      <formula>AND(TODAY()&gt;=HD$5,TODAY()&lt;HE$5)</formula>
    </cfRule>
  </conditionalFormatting>
  <conditionalFormatting sqref="HD7:HJ7">
    <cfRule type="expression" dxfId="43" priority="60">
      <formula>AND(task_start&lt;=HD$5,ROUNDDOWN((task_end-task_start+1)*task_progress,0)+task_start-1&gt;=HD$5)</formula>
    </cfRule>
    <cfRule type="expression" dxfId="42" priority="61" stopIfTrue="1">
      <formula>AND(task_end&gt;=HD$5,task_start&lt;HE$5)</formula>
    </cfRule>
  </conditionalFormatting>
  <conditionalFormatting sqref="GW6:HC7">
    <cfRule type="expression" dxfId="41" priority="59">
      <formula>AND(TODAY()&gt;=GW$5,TODAY()&lt;GX$5)</formula>
    </cfRule>
  </conditionalFormatting>
  <conditionalFormatting sqref="GW7:HC7">
    <cfRule type="expression" dxfId="40" priority="57">
      <formula>AND(task_start&lt;=GW$5,ROUNDDOWN((task_end-task_start+1)*task_progress,0)+task_start-1&gt;=GW$5)</formula>
    </cfRule>
    <cfRule type="expression" dxfId="39" priority="58" stopIfTrue="1">
      <formula>AND(task_end&gt;=GW$5,task_start&lt;GX$5)</formula>
    </cfRule>
  </conditionalFormatting>
  <conditionalFormatting sqref="GP6:GV7">
    <cfRule type="expression" dxfId="38" priority="56">
      <formula>AND(TODAY()&gt;=GP$5,TODAY()&lt;GQ$5)</formula>
    </cfRule>
  </conditionalFormatting>
  <conditionalFormatting sqref="GP7:GV7">
    <cfRule type="expression" dxfId="37" priority="54">
      <formula>AND(task_start&lt;=GP$5,ROUNDDOWN((task_end-task_start+1)*task_progress,0)+task_start-1&gt;=GP$5)</formula>
    </cfRule>
    <cfRule type="expression" dxfId="36" priority="55" stopIfTrue="1">
      <formula>AND(task_end&gt;=GP$5,task_start&lt;GQ$5)</formula>
    </cfRule>
  </conditionalFormatting>
  <conditionalFormatting sqref="GI6:GO7">
    <cfRule type="expression" dxfId="35" priority="53">
      <formula>AND(TODAY()&gt;=GI$5,TODAY()&lt;GJ$5)</formula>
    </cfRule>
  </conditionalFormatting>
  <conditionalFormatting sqref="GI7:GO7">
    <cfRule type="expression" dxfId="34" priority="51">
      <formula>AND(task_start&lt;=GI$5,ROUNDDOWN((task_end-task_start+1)*task_progress,0)+task_start-1&gt;=GI$5)</formula>
    </cfRule>
    <cfRule type="expression" dxfId="33" priority="52" stopIfTrue="1">
      <formula>AND(task_end&gt;=GI$5,task_start&lt;GJ$5)</formula>
    </cfRule>
  </conditionalFormatting>
  <conditionalFormatting sqref="GB6:GH7">
    <cfRule type="expression" dxfId="32" priority="50">
      <formula>AND(TODAY()&gt;=GB$5,TODAY()&lt;GC$5)</formula>
    </cfRule>
  </conditionalFormatting>
  <conditionalFormatting sqref="GB7:GH7">
    <cfRule type="expression" dxfId="31" priority="48">
      <formula>AND(task_start&lt;=GB$5,ROUNDDOWN((task_end-task_start+1)*task_progress,0)+task_start-1&gt;=GB$5)</formula>
    </cfRule>
    <cfRule type="expression" dxfId="30" priority="49" stopIfTrue="1">
      <formula>AND(task_end&gt;=GB$5,task_start&lt;GC$5)</formula>
    </cfRule>
  </conditionalFormatting>
  <conditionalFormatting sqref="FU6:GA7">
    <cfRule type="expression" dxfId="29" priority="47">
      <formula>AND(TODAY()&gt;=FU$5,TODAY()&lt;FV$5)</formula>
    </cfRule>
  </conditionalFormatting>
  <conditionalFormatting sqref="FU7:GA7">
    <cfRule type="expression" dxfId="28" priority="45">
      <formula>AND(task_start&lt;=FU$5,ROUNDDOWN((task_end-task_start+1)*task_progress,0)+task_start-1&gt;=FU$5)</formula>
    </cfRule>
    <cfRule type="expression" dxfId="27" priority="46" stopIfTrue="1">
      <formula>AND(task_end&gt;=FU$5,task_start&lt;FV$5)</formula>
    </cfRule>
  </conditionalFormatting>
  <conditionalFormatting sqref="FN6:FT7">
    <cfRule type="expression" dxfId="26" priority="44">
      <formula>AND(TODAY()&gt;=FN$5,TODAY()&lt;FO$5)</formula>
    </cfRule>
  </conditionalFormatting>
  <conditionalFormatting sqref="FN7:FT7">
    <cfRule type="expression" dxfId="25" priority="42">
      <formula>AND(task_start&lt;=FN$5,ROUNDDOWN((task_end-task_start+1)*task_progress,0)+task_start-1&gt;=FN$5)</formula>
    </cfRule>
    <cfRule type="expression" dxfId="24" priority="43" stopIfTrue="1">
      <formula>AND(task_end&gt;=FN$5,task_start&lt;FO$5)</formula>
    </cfRule>
  </conditionalFormatting>
  <conditionalFormatting sqref="FG6:FM7">
    <cfRule type="expression" dxfId="23" priority="41">
      <formula>AND(TODAY()&gt;=FG$5,TODAY()&lt;FH$5)</formula>
    </cfRule>
  </conditionalFormatting>
  <conditionalFormatting sqref="FG7:FM7">
    <cfRule type="expression" dxfId="22" priority="39">
      <formula>AND(task_start&lt;=FG$5,ROUNDDOWN((task_end-task_start+1)*task_progress,0)+task_start-1&gt;=FG$5)</formula>
    </cfRule>
    <cfRule type="expression" dxfId="21" priority="40" stopIfTrue="1">
      <formula>AND(task_end&gt;=FG$5,task_start&lt;FH$5)</formula>
    </cfRule>
  </conditionalFormatting>
  <conditionalFormatting sqref="EZ6:FF7">
    <cfRule type="expression" dxfId="20" priority="38">
      <formula>AND(TODAY()&gt;=EZ$5,TODAY()&lt;FA$5)</formula>
    </cfRule>
  </conditionalFormatting>
  <conditionalFormatting sqref="EZ7:FF7">
    <cfRule type="expression" dxfId="19" priority="36">
      <formula>AND(task_start&lt;=EZ$5,ROUNDDOWN((task_end-task_start+1)*task_progress,0)+task_start-1&gt;=EZ$5)</formula>
    </cfRule>
    <cfRule type="expression" dxfId="18" priority="37" stopIfTrue="1">
      <formula>AND(task_end&gt;=EZ$5,task_start&lt;FA$5)</formula>
    </cfRule>
  </conditionalFormatting>
  <conditionalFormatting sqref="ES6:EY7">
    <cfRule type="expression" dxfId="17" priority="35">
      <formula>AND(TODAY()&gt;=ES$5,TODAY()&lt;ET$5)</formula>
    </cfRule>
  </conditionalFormatting>
  <conditionalFormatting sqref="ES7:EY7">
    <cfRule type="expression" dxfId="16" priority="33">
      <formula>AND(task_start&lt;=ES$5,ROUNDDOWN((task_end-task_start+1)*task_progress,0)+task_start-1&gt;=ES$5)</formula>
    </cfRule>
    <cfRule type="expression" dxfId="15" priority="34" stopIfTrue="1">
      <formula>AND(task_end&gt;=ES$5,task_start&lt;ET$5)</formula>
    </cfRule>
  </conditionalFormatting>
  <conditionalFormatting sqref="EL6:ER7">
    <cfRule type="expression" dxfId="14" priority="32">
      <formula>AND(TODAY()&gt;=EL$5,TODAY()&lt;EM$5)</formula>
    </cfRule>
  </conditionalFormatting>
  <conditionalFormatting sqref="EL7:ER7">
    <cfRule type="expression" dxfId="13" priority="30">
      <formula>AND(task_start&lt;=EL$5,ROUNDDOWN((task_end-task_start+1)*task_progress,0)+task_start-1&gt;=EL$5)</formula>
    </cfRule>
    <cfRule type="expression" dxfId="12" priority="31" stopIfTrue="1">
      <formula>AND(task_end&gt;=EL$5,task_start&lt;EM$5)</formula>
    </cfRule>
  </conditionalFormatting>
  <conditionalFormatting sqref="EE6:EK7">
    <cfRule type="expression" dxfId="11" priority="29">
      <formula>AND(TODAY()&gt;=EE$5,TODAY()&lt;EF$5)</formula>
    </cfRule>
  </conditionalFormatting>
  <conditionalFormatting sqref="EE7:EK7">
    <cfRule type="expression" dxfId="10" priority="27">
      <formula>AND(task_start&lt;=EE$5,ROUNDDOWN((task_end-task_start+1)*task_progress,0)+task_start-1&gt;=EE$5)</formula>
    </cfRule>
    <cfRule type="expression" dxfId="9" priority="28" stopIfTrue="1">
      <formula>AND(task_end&gt;=EE$5,task_start&lt;EF$5)</formula>
    </cfRule>
  </conditionalFormatting>
  <conditionalFormatting sqref="D12:D13 D15">
    <cfRule type="dataBar" priority="13">
      <dataBar>
        <cfvo type="num" val="0"/>
        <cfvo type="num" val="1"/>
        <color theme="0" tint="-0.249977111117893"/>
      </dataBar>
      <extLst>
        <ext xmlns:x14="http://schemas.microsoft.com/office/spreadsheetml/2009/9/main" uri="{B025F937-C7B1-47D3-B67F-A62EFF666E3E}">
          <x14:id>{85E43B9C-A099-4D8A-88EE-A630B3185D67}</x14:id>
        </ext>
      </extLst>
    </cfRule>
  </conditionalFormatting>
  <conditionalFormatting sqref="I12:JN13 I15:JN15">
    <cfRule type="expression" dxfId="8" priority="16">
      <formula>AND(TODAY()&gt;=I$5,TODAY()&lt;J$5)</formula>
    </cfRule>
  </conditionalFormatting>
  <conditionalFormatting sqref="I12:JN13 I15:JN15">
    <cfRule type="expression" dxfId="7" priority="14">
      <formula>AND(task_start&lt;=I$5,ROUNDDOWN((task_end-task_start+1)*task_progress,0)+task_start-1&gt;=I$5)</formula>
    </cfRule>
    <cfRule type="expression" dxfId="6" priority="15" stopIfTrue="1">
      <formula>AND(task_end&gt;=I$5,task_start&lt;J$5)</formula>
    </cfRule>
  </conditionalFormatting>
  <conditionalFormatting sqref="D16">
    <cfRule type="dataBar" priority="9">
      <dataBar>
        <cfvo type="num" val="0"/>
        <cfvo type="num" val="1"/>
        <color theme="0" tint="-0.249977111117893"/>
      </dataBar>
      <extLst>
        <ext xmlns:x14="http://schemas.microsoft.com/office/spreadsheetml/2009/9/main" uri="{B025F937-C7B1-47D3-B67F-A62EFF666E3E}">
          <x14:id>{4158EA25-CB6A-44E1-BDF0-E91B4D496DFE}</x14:id>
        </ext>
      </extLst>
    </cfRule>
  </conditionalFormatting>
  <conditionalFormatting sqref="I16:JN16">
    <cfRule type="expression" dxfId="5" priority="12">
      <formula>AND(TODAY()&gt;=I$5,TODAY()&lt;J$5)</formula>
    </cfRule>
  </conditionalFormatting>
  <conditionalFormatting sqref="I16:JN16">
    <cfRule type="expression" dxfId="4" priority="10">
      <formula>AND(task_start&lt;=I$5,ROUNDDOWN((task_end-task_start+1)*task_progress,0)+task_start-1&gt;=I$5)</formula>
    </cfRule>
    <cfRule type="expression" dxfId="3" priority="11" stopIfTrue="1">
      <formula>AND(task_end&gt;=I$5,task_start&lt;J$5)</formula>
    </cfRule>
  </conditionalFormatting>
  <conditionalFormatting sqref="D14">
    <cfRule type="dataBar" priority="1">
      <dataBar>
        <cfvo type="num" val="0"/>
        <cfvo type="num" val="1"/>
        <color theme="0" tint="-0.249977111117893"/>
      </dataBar>
      <extLst>
        <ext xmlns:x14="http://schemas.microsoft.com/office/spreadsheetml/2009/9/main" uri="{B025F937-C7B1-47D3-B67F-A62EFF666E3E}">
          <x14:id>{95BD8C3B-8D7E-433B-820C-76CA0BD36D9B}</x14:id>
        </ext>
      </extLst>
    </cfRule>
  </conditionalFormatting>
  <conditionalFormatting sqref="I14:JN14">
    <cfRule type="expression" dxfId="2" priority="4">
      <formula>AND(TODAY()&gt;=I$5,TODAY()&lt;J$5)</formula>
    </cfRule>
  </conditionalFormatting>
  <conditionalFormatting sqref="I14:JN14">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5"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D7:D11 D17</xm:sqref>
        </x14:conditionalFormatting>
        <x14:conditionalFormatting xmlns:xm="http://schemas.microsoft.com/office/excel/2006/main">
          <x14:cfRule type="dataBar" id="{85E43B9C-A099-4D8A-88EE-A630B3185D67}">
            <x14:dataBar minLength="0" maxLength="100" gradient="0">
              <x14:cfvo type="num">
                <xm:f>0</xm:f>
              </x14:cfvo>
              <x14:cfvo type="num">
                <xm:f>1</xm:f>
              </x14:cfvo>
              <x14:negativeFillColor rgb="FFFF0000"/>
              <x14:axisColor rgb="FF000000"/>
            </x14:dataBar>
          </x14:cfRule>
          <xm:sqref>D12:D13 D15</xm:sqref>
        </x14:conditionalFormatting>
        <x14:conditionalFormatting xmlns:xm="http://schemas.microsoft.com/office/excel/2006/main">
          <x14:cfRule type="dataBar" id="{4158EA25-CB6A-44E1-BDF0-E91B4D496DFE}">
            <x14:dataBar minLength="0" maxLength="100" gradient="0">
              <x14:cfvo type="num">
                <xm:f>0</xm:f>
              </x14:cfvo>
              <x14:cfvo type="num">
                <xm:f>1</xm:f>
              </x14:cfvo>
              <x14:negativeFillColor rgb="FFFF0000"/>
              <x14:axisColor rgb="FF000000"/>
            </x14:dataBar>
          </x14:cfRule>
          <xm:sqref>D16</xm:sqref>
        </x14:conditionalFormatting>
        <x14:conditionalFormatting xmlns:xm="http://schemas.microsoft.com/office/excel/2006/main">
          <x14:cfRule type="dataBar" id="{95BD8C3B-8D7E-433B-820C-76CA0BD36D9B}">
            <x14:dataBar minLength="0" maxLength="100" gradient="0">
              <x14:cfvo type="num">
                <xm:f>0</xm:f>
              </x14:cfvo>
              <x14:cfvo type="num">
                <xm:f>1</xm:f>
              </x14:cfvo>
              <x14:negativeFillColor rgb="FFFF0000"/>
              <x14:axisColor rgb="FF000000"/>
            </x14:dataBar>
          </x14:cfRule>
          <xm:sqref>D14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CalendarioProyecto</vt:lpstr>
      <vt:lpstr>Display_Week</vt:lpstr>
      <vt:lpstr>Project_Start</vt:lpstr>
      <vt:lpstr>CalendarioProyecto!task_end</vt:lpstr>
      <vt:lpstr>CalendarioProyecto!task_progress</vt:lpstr>
      <vt:lpstr>CalendarioProyecto!task_start</vt:lpstr>
      <vt:lpstr>CalendarioProyecto!Títulos_a_imprimir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2020-09-19T14:20:05Z</dcterms:modified>
</cp:coreProperties>
</file>